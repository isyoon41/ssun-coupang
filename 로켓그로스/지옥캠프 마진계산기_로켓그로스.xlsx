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마진계산기" sheetId="1" r:id="rId5"/>
    <sheet state="visible" name="순수익계산기" sheetId="2" r:id="rId6"/>
  </sheets>
  <definedNames/>
  <calcPr/>
</workbook>
</file>

<file path=xl/sharedStrings.xml><?xml version="1.0" encoding="utf-8"?>
<sst xmlns="http://schemas.openxmlformats.org/spreadsheetml/2006/main" count="118" uniqueCount="45">
  <si>
    <t xml:space="preserve">  지옥캠프 마진계산기🔥🔥</t>
  </si>
  <si>
    <t>백만장자 앤더슨</t>
  </si>
  <si>
    <t>★ 이 부분은 자동으로 계산됩니다 ★</t>
  </si>
  <si>
    <r>
      <rPr>
        <rFont val="&quot;맑은 고딕&quot;, monospace"/>
        <b/>
        <sz val="16.0"/>
      </rPr>
      <t xml:space="preserve">   </t>
    </r>
    <r>
      <rPr>
        <rFont val="&quot;맑은 고딕&quot;, monospace"/>
        <b/>
        <color rgb="FF1155CC"/>
        <sz val="16.0"/>
        <u/>
      </rPr>
      <t>입출고/배송비용 계산(Click)</t>
    </r>
  </si>
  <si>
    <t>키워드</t>
  </si>
  <si>
    <t>상품명</t>
  </si>
  <si>
    <t>소싱링크</t>
  </si>
  <si>
    <t>원가</t>
  </si>
  <si>
    <t>입출고/배송비용</t>
  </si>
  <si>
    <t>판매가</t>
  </si>
  <si>
    <t>판매 수수료(%)</t>
  </si>
  <si>
    <r>
      <rPr>
        <rFont val="Arial"/>
        <b/>
        <color theme="1"/>
        <sz val="11.0"/>
      </rPr>
      <t xml:space="preserve">원가 상한선
</t>
    </r>
    <r>
      <rPr>
        <rFont val="Arial"/>
        <b/>
        <color theme="1"/>
        <sz val="8.0"/>
      </rPr>
      <t>(마진율 40% 이상)</t>
    </r>
  </si>
  <si>
    <t>수수료</t>
  </si>
  <si>
    <t>부가세</t>
  </si>
  <si>
    <t>마진</t>
  </si>
  <si>
    <t>마진율</t>
  </si>
  <si>
    <t>손익분기점 ROAS</t>
  </si>
  <si>
    <t>STEP 1
썸네일기획</t>
  </si>
  <si>
    <t>STEP 2
상품 등록</t>
  </si>
  <si>
    <t>STEP 3
오픈마켓 등록</t>
  </si>
  <si>
    <t>STEP 4
쿠폰 2종 발행</t>
  </si>
  <si>
    <t>STEP 5
숏폼 등록</t>
  </si>
  <si>
    <t>STEP 6
그로스 입고</t>
  </si>
  <si>
    <t>STEP 7
체험단리뷰 5개</t>
  </si>
  <si>
    <t>STEP 8
광고 세팅</t>
  </si>
  <si>
    <t>아동슬리퍼</t>
  </si>
  <si>
    <t>차량용 서큘레이터</t>
  </si>
  <si>
    <t>순수익 계산기</t>
  </si>
  <si>
    <r>
      <rPr>
        <rFont val="&quot;맑은 고딕&quot;, monospace"/>
        <b/>
        <color rgb="FF000000"/>
        <sz val="16.0"/>
      </rPr>
      <t xml:space="preserve">     </t>
    </r>
    <r>
      <rPr>
        <rFont val="&quot;맑은 고딕&quot;, monospace"/>
        <b/>
        <color rgb="FF1155CC"/>
        <sz val="16.0"/>
        <u/>
      </rPr>
      <t>반품 회수비/재입고비 계산(Click)</t>
    </r>
  </si>
  <si>
    <t>청소용품 A</t>
  </si>
  <si>
    <t>생활용품 B</t>
  </si>
  <si>
    <t>여성신발 C</t>
  </si>
  <si>
    <t>사용 Guide</t>
  </si>
  <si>
    <t>기간</t>
  </si>
  <si>
    <t>30일</t>
  </si>
  <si>
    <t>7월~8월</t>
  </si>
  <si>
    <r>
      <rPr>
        <rFont val="&quot;맑은 고딕&quot;, monospace"/>
        <b/>
        <color rgb="FF000000"/>
        <sz val="13.0"/>
      </rPr>
      <t>- 각 탭에 대한 정보는 다음에서 찾을 수 있습니다!</t>
    </r>
    <r>
      <rPr>
        <rFont val="&quot;맑은 고딕&quot;, monospace"/>
        <color rgb="FF000000"/>
        <sz val="11.0"/>
      </rPr>
      <t xml:space="preserve">
 *매출 : 쿠팡 판매자센터 &gt; 판매분석
 *마진율 : 마진계산기
 *광고비 : 쿠팡 판매자센터 &gt; 광고센터
 *반품 회수/재입고비 : </t>
    </r>
    <r>
      <rPr>
        <rFont val="&quot;맑은 고딕&quot;, monospace"/>
        <color rgb="FF1155CC"/>
        <sz val="11.0"/>
        <u/>
      </rPr>
      <t xml:space="preserve">쿠팡 계산기(Click)
</t>
    </r>
    <r>
      <rPr>
        <rFont val="&quot;맑은 고딕&quot;, monospace"/>
        <color rgb="FF000000"/>
        <sz val="11.0"/>
      </rPr>
      <t xml:space="preserve"> *반품 수 : 쿠팡 판매자센터 &gt; 로켓그로스 &gt; 재고현황 &gt; 반품내역 엑셀 다운로드
</t>
    </r>
    <r>
      <rPr>
        <rFont val="&quot;맑은 고딕&quot;, monospace"/>
        <b/>
        <color rgb="FF000000"/>
        <sz val="13.0"/>
      </rPr>
      <t xml:space="preserve">- 해당 계산기로 무엇을 판단하나요?
</t>
    </r>
    <r>
      <rPr>
        <rFont val="&quot;맑은 고딕&quot;, monospace"/>
        <color rgb="FF000000"/>
        <sz val="11.0"/>
      </rPr>
      <t xml:space="preserve"> 1) 상품 등록 후 30일이 지난 시점에서 제품의 시장성 판단
 2) 반품율과 무관하게 영업이익이 적자라면 폐기 진행
 3) 영업이익율이 5% 이상인 상품 추가 디벨롭</t>
    </r>
  </si>
  <si>
    <t>매출</t>
  </si>
  <si>
    <t>광고비</t>
  </si>
  <si>
    <t>반품 회수/재입고비</t>
  </si>
  <si>
    <t>반품 수</t>
  </si>
  <si>
    <t>영업이익</t>
  </si>
  <si>
    <t xml:space="preserve"> </t>
  </si>
  <si>
    <t>영업이익율</t>
  </si>
  <si>
    <t>도매꾹 의류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</si>
</sst>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₩-412]#,##0"/>
    <numFmt numFmtId="165" formatCode="&quot;₩&quot;#,##0"/>
    <numFmt numFmtId="166" formatCode="0.0%"/>
    <numFmt numFmtId="167" formatCode="[$₩-412]#,##0.00"/>
  </numFmts>
  <fonts count="28">
    <font>
      <sz val="10.0"/>
      <color rgb="FF000000"/>
      <name val="Arial"/>
      <scheme val="minor"/>
    </font>
    <font>
      <b/>
      <sz val="24.0"/>
      <color rgb="FFFFFFFF"/>
      <name val="&quot;맑은 고딕&quot;"/>
    </font>
    <font>
      <b/>
      <sz val="11.0"/>
      <color rgb="FFFFFFFF"/>
      <name val="&quot;맑은 고딕&quot;"/>
    </font>
    <font>
      <b/>
      <sz val="8.0"/>
      <color rgb="FFFFFFFF"/>
      <name val="&quot;맑은 고딕&quot;"/>
    </font>
    <font>
      <b/>
      <u/>
      <sz val="14.0"/>
      <color rgb="FF000000"/>
      <name val="&quot;맑은 고딕&quot;"/>
    </font>
    <font>
      <color theme="1"/>
      <name val="Arial"/>
    </font>
    <font>
      <b/>
      <sz val="14.0"/>
      <color rgb="FF000000"/>
      <name val="&quot;맑은 고딕&quot;"/>
    </font>
    <font>
      <sz val="11.0"/>
      <color rgb="FF000000"/>
      <name val="&quot;맑은 고딕&quot;"/>
    </font>
    <font>
      <b/>
      <sz val="11.0"/>
      <color rgb="FF000000"/>
      <name val="&quot;맑은 고딕&quot;"/>
    </font>
    <font>
      <b/>
      <sz val="24.0"/>
      <color rgb="FFFFFFFF"/>
      <name val="Arial"/>
    </font>
    <font>
      <b/>
      <u/>
      <sz val="11.0"/>
      <color rgb="FFFFFFFF"/>
      <name val="&quot;맑은 고딕&quot;"/>
    </font>
    <font>
      <b/>
      <u/>
      <sz val="16.0"/>
      <color rgb="FF0000FF"/>
      <name val="&quot;맑은 고딕&quot;"/>
    </font>
    <font>
      <b/>
      <sz val="11.0"/>
      <color theme="1"/>
      <name val="Arial"/>
    </font>
    <font>
      <b/>
      <sz val="9.0"/>
      <color theme="1"/>
      <name val="Malgun Gothic"/>
    </font>
    <font>
      <color theme="1"/>
      <name val="Arial"/>
      <scheme val="minor"/>
    </font>
    <font>
      <sz val="11.0"/>
      <color theme="1"/>
      <name val="Arial"/>
    </font>
    <font>
      <color rgb="FFFF0000"/>
      <name val="Arial"/>
    </font>
    <font>
      <b/>
      <sz val="26.0"/>
      <color rgb="FFFFFFFF"/>
      <name val="&quot;맑은 고딕&quot;"/>
    </font>
    <font>
      <b/>
      <u/>
      <sz val="16.0"/>
      <color rgb="FFFFFFFF"/>
      <name val="&quot;맑은 고딕&quot;"/>
    </font>
    <font>
      <color rgb="FF000000"/>
      <name val="Arial"/>
      <scheme val="minor"/>
    </font>
    <font>
      <b/>
      <i/>
      <sz val="17.0"/>
      <color rgb="FF000000"/>
      <name val="&quot;맑은 고딕&quot;"/>
    </font>
    <font>
      <sz val="13.0"/>
      <color rgb="FF000000"/>
      <name val="&quot;맑은 고딕&quot;"/>
    </font>
    <font>
      <u/>
      <sz val="11.0"/>
      <color rgb="FF000000"/>
      <name val="&quot;맑은 고딕&quot;"/>
    </font>
    <font/>
    <font>
      <sz val="13.0"/>
      <color theme="1"/>
      <name val="Arial"/>
      <scheme val="minor"/>
    </font>
    <font>
      <b/>
      <sz val="15.0"/>
      <color rgb="FF000000"/>
      <name val="&quot;맑은 고딕&quot;"/>
    </font>
    <font>
      <sz val="14.0"/>
      <color rgb="FF000000"/>
      <name val="&quot;맑은 고딕&quot;"/>
    </font>
    <font>
      <b/>
      <i/>
      <sz val="15.0"/>
      <color rgb="FFFF0000"/>
      <name val="&quot;맑은 고딕&quot;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66FF"/>
        <bgColor rgb="FF0066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vertical="center" wrapText="0"/>
    </xf>
    <xf borderId="0" fillId="3" fontId="5" numFmtId="0" xfId="0" applyFill="1" applyFont="1"/>
    <xf borderId="0" fillId="2" fontId="6" numFmtId="0" xfId="0" applyAlignment="1" applyFont="1">
      <alignment horizontal="center" readingOrder="0" shrinkToFit="0" vertical="center" wrapText="0"/>
    </xf>
    <xf borderId="0" fillId="2" fontId="7" numFmtId="0" xfId="0" applyAlignment="1" applyFont="1">
      <alignment horizontal="center" shrinkToFit="0" wrapText="0"/>
    </xf>
    <xf borderId="0" fillId="2" fontId="8" numFmtId="0" xfId="0" applyAlignment="1" applyFont="1">
      <alignment horizontal="center" readingOrder="0" shrinkToFit="0" wrapText="0"/>
    </xf>
    <xf borderId="0" fillId="4" fontId="9" numFmtId="0" xfId="0" applyAlignment="1" applyFill="1" applyFont="1">
      <alignment vertical="bottom"/>
    </xf>
    <xf borderId="0" fillId="4" fontId="2" numFmtId="0" xfId="0" applyAlignment="1" applyFont="1">
      <alignment horizontal="center" shrinkToFit="0" wrapText="0"/>
    </xf>
    <xf borderId="0" fillId="4" fontId="10" numFmtId="0" xfId="0" applyAlignment="1" applyFont="1">
      <alignment horizontal="center" readingOrder="0" shrinkToFit="0" wrapText="0"/>
    </xf>
    <xf borderId="0" fillId="5" fontId="5" numFmtId="0" xfId="0" applyAlignment="1" applyFill="1" applyFont="1">
      <alignment vertical="bottom"/>
    </xf>
    <xf borderId="0" fillId="5" fontId="7" numFmtId="0" xfId="0" applyAlignment="1" applyFont="1">
      <alignment horizontal="center" shrinkToFit="0" wrapText="0"/>
    </xf>
    <xf borderId="0" fillId="5" fontId="8" numFmtId="0" xfId="0" applyAlignment="1" applyFont="1">
      <alignment horizontal="center" readingOrder="0" shrinkToFit="0" wrapText="0"/>
    </xf>
    <xf borderId="0" fillId="3" fontId="11" numFmtId="0" xfId="0" applyAlignment="1" applyFont="1">
      <alignment horizontal="left" readingOrder="0" shrinkToFit="0" vertical="center" wrapText="0"/>
    </xf>
    <xf borderId="0" fillId="6" fontId="2" numFmtId="0" xfId="0" applyAlignment="1" applyFill="1" applyFont="1">
      <alignment horizontal="center" readingOrder="0" shrinkToFit="0" vertical="center" wrapText="0"/>
    </xf>
    <xf borderId="0" fillId="5" fontId="12" numFmtId="0" xfId="0" applyAlignment="1" applyFont="1">
      <alignment horizontal="center" vertical="center"/>
    </xf>
    <xf borderId="0" fillId="5" fontId="8" numFmtId="0" xfId="0" applyAlignment="1" applyFont="1">
      <alignment horizontal="center" readingOrder="0" shrinkToFit="0" vertical="center" wrapText="0"/>
    </xf>
    <xf borderId="1" fillId="7" fontId="13" numFmtId="0" xfId="0" applyAlignment="1" applyBorder="1" applyFill="1" applyFont="1">
      <alignment horizontal="center" vertical="center"/>
    </xf>
    <xf borderId="2" fillId="7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0" fillId="0" fontId="7" numFmtId="0" xfId="0" applyAlignment="1" applyFont="1">
      <alignment horizontal="center" readingOrder="0" shrinkToFit="0" wrapText="0"/>
    </xf>
    <xf borderId="0" fillId="0" fontId="7" numFmtId="164" xfId="0" applyAlignment="1" applyFont="1" applyNumberFormat="1">
      <alignment horizontal="center" readingOrder="0" shrinkToFit="0" wrapText="0"/>
    </xf>
    <xf borderId="0" fillId="0" fontId="7" numFmtId="10" xfId="0" applyAlignment="1" applyFont="1" applyNumberFormat="1">
      <alignment horizontal="center" readingOrder="0" shrinkToFit="0" wrapText="0"/>
    </xf>
    <xf borderId="0" fillId="8" fontId="15" numFmtId="165" xfId="0" applyAlignment="1" applyFill="1" applyFont="1" applyNumberFormat="1">
      <alignment horizontal="center" vertical="bottom"/>
    </xf>
    <xf borderId="0" fillId="8" fontId="7" numFmtId="165" xfId="0" applyAlignment="1" applyFont="1" applyNumberFormat="1">
      <alignment horizontal="center" readingOrder="0" shrinkToFit="0" wrapText="0"/>
    </xf>
    <xf borderId="0" fillId="8" fontId="7" numFmtId="10" xfId="0" applyAlignment="1" applyFont="1" applyNumberFormat="1">
      <alignment horizontal="center" readingOrder="0" shrinkToFit="0" wrapText="0"/>
    </xf>
    <xf borderId="0" fillId="8" fontId="7" numFmtId="9" xfId="0" applyAlignment="1" applyFont="1" applyNumberFormat="1">
      <alignment horizontal="center" readingOrder="0" shrinkToFit="0" wrapText="0"/>
    </xf>
    <xf borderId="0" fillId="7" fontId="16" numFmtId="0" xfId="0" applyAlignment="1" applyFont="1">
      <alignment horizontal="center" readingOrder="0"/>
    </xf>
    <xf borderId="0" fillId="7" fontId="16" numFmtId="0" xfId="0" applyAlignment="1" applyFont="1">
      <alignment horizontal="center"/>
    </xf>
    <xf borderId="0" fillId="0" fontId="7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7" numFmtId="0" xfId="0" applyAlignment="1" applyFont="1">
      <alignment horizontal="center" shrinkToFit="0" wrapText="0"/>
    </xf>
    <xf borderId="0" fillId="0" fontId="7" numFmtId="164" xfId="0" applyAlignment="1" applyFont="1" applyNumberFormat="1">
      <alignment horizontal="center" shrinkToFit="0" wrapText="0"/>
    </xf>
    <xf borderId="0" fillId="0" fontId="14" numFmtId="164" xfId="0" applyFont="1" applyNumberFormat="1"/>
    <xf borderId="0" fillId="0" fontId="5" numFmtId="0" xfId="0" applyAlignment="1" applyFont="1">
      <alignment vertical="bottom"/>
    </xf>
    <xf borderId="0" fillId="2" fontId="2" numFmtId="0" xfId="0" applyAlignment="1" applyFont="1">
      <alignment horizontal="center" readingOrder="0" shrinkToFit="0" wrapText="0"/>
    </xf>
    <xf borderId="0" fillId="3" fontId="6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horizontal="center" shrinkToFit="0" wrapText="0"/>
    </xf>
    <xf borderId="0" fillId="3" fontId="8" numFmtId="0" xfId="0" applyAlignment="1" applyFont="1">
      <alignment horizontal="center" readingOrder="0" shrinkToFit="0" wrapText="0"/>
    </xf>
    <xf borderId="0" fillId="4" fontId="17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wrapText="0"/>
    </xf>
    <xf borderId="0" fillId="4" fontId="7" numFmtId="0" xfId="0" applyAlignment="1" applyFont="1">
      <alignment horizontal="center" shrinkToFit="0" wrapText="0"/>
    </xf>
    <xf borderId="0" fillId="4" fontId="18" numFmtId="0" xfId="0" applyAlignment="1" applyFont="1">
      <alignment horizontal="right" readingOrder="0" shrinkToFit="0" wrapText="0"/>
    </xf>
    <xf borderId="0" fillId="3" fontId="19" numFmtId="0" xfId="0" applyFont="1"/>
    <xf borderId="0" fillId="9" fontId="20" numFmtId="0" xfId="0" applyAlignment="1" applyFill="1" applyFont="1">
      <alignment horizontal="center" readingOrder="0" shrinkToFit="0" vertical="center" wrapText="0"/>
    </xf>
    <xf borderId="0" fillId="3" fontId="7" numFmtId="164" xfId="0" applyAlignment="1" applyFont="1" applyNumberFormat="1">
      <alignment horizontal="center" readingOrder="0" shrinkToFit="0" vertical="center" wrapText="0"/>
    </xf>
    <xf borderId="0" fillId="3" fontId="7" numFmtId="165" xfId="0" applyAlignment="1" applyFont="1" applyNumberFormat="1">
      <alignment horizontal="center" readingOrder="0" shrinkToFit="0" vertical="center" wrapText="0"/>
    </xf>
    <xf borderId="0" fillId="3" fontId="7" numFmtId="10" xfId="0" applyAlignment="1" applyFont="1" applyNumberFormat="1">
      <alignment horizontal="center" readingOrder="0" shrinkToFit="0" vertical="center" wrapText="0"/>
    </xf>
    <xf borderId="0" fillId="5" fontId="20" numFmtId="0" xfId="0" applyAlignment="1" applyFont="1">
      <alignment horizontal="center" readingOrder="0" shrinkToFit="0" vertical="center" wrapText="0"/>
    </xf>
    <xf borderId="0" fillId="3" fontId="19" numFmtId="0" xfId="0" applyAlignment="1" applyFont="1">
      <alignment vertical="center"/>
    </xf>
    <xf borderId="3" fillId="3" fontId="21" numFmtId="0" xfId="0" applyAlignment="1" applyBorder="1" applyFont="1">
      <alignment horizontal="center" readingOrder="0" shrinkToFit="0" vertical="center" wrapText="0"/>
    </xf>
    <xf borderId="4" fillId="3" fontId="21" numFmtId="164" xfId="0" applyAlignment="1" applyBorder="1" applyFont="1" applyNumberFormat="1">
      <alignment horizontal="center" readingOrder="0" shrinkToFit="0" vertical="center" wrapText="0"/>
    </xf>
    <xf borderId="5" fillId="3" fontId="22" numFmtId="0" xfId="0" applyAlignment="1" applyBorder="1" applyFont="1">
      <alignment horizontal="left" readingOrder="0" shrinkToFit="0" vertical="top" wrapText="0"/>
    </xf>
    <xf borderId="6" fillId="0" fontId="23" numFmtId="0" xfId="0" applyBorder="1" applyFont="1"/>
    <xf borderId="4" fillId="0" fontId="23" numFmtId="0" xfId="0" applyBorder="1" applyFont="1"/>
    <xf borderId="7" fillId="3" fontId="21" numFmtId="0" xfId="0" applyAlignment="1" applyBorder="1" applyFont="1">
      <alignment horizontal="center" readingOrder="0" shrinkToFit="0" vertical="center" wrapText="0"/>
    </xf>
    <xf borderId="8" fillId="0" fontId="24" numFmtId="164" xfId="0" applyAlignment="1" applyBorder="1" applyFont="1" applyNumberFormat="1">
      <alignment horizontal="center" readingOrder="0" vertical="center"/>
    </xf>
    <xf borderId="9" fillId="0" fontId="23" numFmtId="0" xfId="0" applyBorder="1" applyFont="1"/>
    <xf borderId="8" fillId="0" fontId="23" numFmtId="0" xfId="0" applyBorder="1" applyFont="1"/>
    <xf borderId="8" fillId="3" fontId="21" numFmtId="166" xfId="0" applyAlignment="1" applyBorder="1" applyFont="1" applyNumberFormat="1">
      <alignment horizontal="center" readingOrder="0" shrinkToFit="0" vertical="center" wrapText="0"/>
    </xf>
    <xf borderId="8" fillId="3" fontId="21" numFmtId="164" xfId="0" applyAlignment="1" applyBorder="1" applyFont="1" applyNumberFormat="1">
      <alignment horizontal="center" readingOrder="0" shrinkToFit="0" vertical="center" wrapText="0"/>
    </xf>
    <xf borderId="10" fillId="3" fontId="21" numFmtId="0" xfId="0" applyAlignment="1" applyBorder="1" applyFont="1">
      <alignment horizontal="center" readingOrder="0" shrinkToFit="0" vertical="center" wrapText="0"/>
    </xf>
    <xf borderId="11" fillId="3" fontId="21" numFmtId="3" xfId="0" applyAlignment="1" applyBorder="1" applyFont="1" applyNumberFormat="1">
      <alignment horizontal="center" readingOrder="0" shrinkToFit="0" vertical="center" wrapText="0"/>
    </xf>
    <xf borderId="7" fillId="3" fontId="25" numFmtId="0" xfId="0" applyAlignment="1" applyBorder="1" applyFont="1">
      <alignment horizontal="center" readingOrder="0" shrinkToFit="0" vertical="center" wrapText="0"/>
    </xf>
    <xf borderId="8" fillId="3" fontId="25" numFmtId="164" xfId="0" applyAlignment="1" applyBorder="1" applyFont="1" applyNumberForma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6" fillId="3" fontId="7" numFmtId="0" xfId="0" applyAlignment="1" applyBorder="1" applyFont="1">
      <alignment horizontal="left" readingOrder="0" shrinkToFit="0" vertical="top" wrapText="0"/>
    </xf>
    <xf borderId="10" fillId="3" fontId="25" numFmtId="0" xfId="0" applyAlignment="1" applyBorder="1" applyFont="1">
      <alignment horizontal="center" readingOrder="0" shrinkToFit="0" vertical="center" wrapText="0"/>
    </xf>
    <xf borderId="11" fillId="3" fontId="25" numFmtId="10" xfId="0" applyAlignment="1" applyBorder="1" applyFont="1" applyNumberFormat="1">
      <alignment horizontal="center" shrinkToFit="0" vertical="center" wrapText="0"/>
    </xf>
    <xf borderId="0" fillId="3" fontId="7" numFmtId="0" xfId="0" applyAlignment="1" applyFont="1">
      <alignment horizontal="left" readingOrder="0" shrinkToFit="0" vertical="top" wrapText="0"/>
    </xf>
    <xf borderId="0" fillId="3" fontId="26" numFmtId="0" xfId="0" applyAlignment="1" applyFont="1">
      <alignment horizontal="center" shrinkToFit="0" vertical="center" wrapText="0"/>
    </xf>
    <xf borderId="0" fillId="3" fontId="7" numFmtId="164" xfId="0" applyAlignment="1" applyFont="1" applyNumberFormat="1">
      <alignment horizontal="center" shrinkToFit="0" vertical="center" wrapText="0"/>
    </xf>
    <xf borderId="0" fillId="3" fontId="7" numFmtId="9" xfId="0" applyAlignment="1" applyFont="1" applyNumberFormat="1">
      <alignment horizontal="center" readingOrder="0" shrinkToFit="0" vertical="center" wrapText="0"/>
    </xf>
    <xf borderId="0" fillId="3" fontId="27" numFmtId="164" xfId="0" applyAlignment="1" applyFont="1" applyNumberFormat="1">
      <alignment horizontal="center" readingOrder="0" shrinkToFit="0" vertical="center" wrapText="0"/>
    </xf>
    <xf borderId="0" fillId="3" fontId="7" numFmtId="164" xfId="0" applyAlignment="1" applyFont="1" applyNumberFormat="1">
      <alignment horizontal="center" shrinkToFit="0" wrapText="0"/>
    </xf>
    <xf borderId="0" fillId="3" fontId="7" numFmtId="165" xfId="0" applyAlignment="1" applyFont="1" applyNumberFormat="1">
      <alignment horizontal="center" readingOrder="0" shrinkToFit="0" wrapText="0"/>
    </xf>
    <xf borderId="0" fillId="3" fontId="7" numFmtId="10" xfId="0" applyAlignment="1" applyFont="1" applyNumberFormat="1">
      <alignment horizontal="center" readingOrder="0" shrinkToFit="0" wrapText="0"/>
    </xf>
    <xf borderId="0" fillId="3" fontId="7" numFmtId="9" xfId="0" applyAlignment="1" applyFont="1" applyNumberFormat="1">
      <alignment horizontal="center" readingOrder="0" shrinkToFit="0" wrapText="0"/>
    </xf>
    <xf borderId="0" fillId="3" fontId="7" numFmtId="167" xfId="0" applyAlignment="1" applyFont="1" applyNumberFormat="1">
      <alignment horizontal="center" readingOrder="0" shrinkToFit="0" wrapText="0"/>
    </xf>
    <xf borderId="0" fillId="3" fontId="1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ing.coupang.com/tenants/rfm/settlements/fee-information?utm_source=winghom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ing.coupang.com/tenants/rfm/settlements/fee-information?utm_source=winghome" TargetMode="External"/><Relationship Id="rId2" Type="http://schemas.openxmlformats.org/officeDocument/2006/relationships/hyperlink" Target="https://wing.coupang.com/tenants/rfm/settlements/fee-information?utm_source=winghome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3" width="30.0"/>
    <col customWidth="1" min="5" max="5" width="27.38"/>
    <col customWidth="1" min="7" max="7" width="19.13"/>
    <col customWidth="1" min="8" max="13" width="16.75"/>
  </cols>
  <sheetData>
    <row r="1" ht="29.25" customHeight="1">
      <c r="A1" s="1"/>
      <c r="B1" s="1"/>
      <c r="C1" s="1"/>
      <c r="D1" s="2"/>
      <c r="E1" s="3"/>
      <c r="F1" s="4"/>
      <c r="G1" s="4"/>
      <c r="H1" s="5"/>
      <c r="I1" s="6"/>
      <c r="J1" s="7"/>
      <c r="K1" s="8"/>
      <c r="L1" s="7"/>
      <c r="M1" s="7"/>
    </row>
    <row r="2">
      <c r="A2" s="9" t="s">
        <v>0</v>
      </c>
      <c r="F2" s="10"/>
      <c r="G2" s="11" t="s">
        <v>1</v>
      </c>
      <c r="H2" s="12"/>
      <c r="I2" s="13"/>
      <c r="J2" s="13"/>
      <c r="K2" s="14" t="s">
        <v>2</v>
      </c>
      <c r="L2" s="13"/>
      <c r="M2" s="13"/>
    </row>
    <row r="3" ht="33.0" customHeight="1">
      <c r="A3" s="15" t="s">
        <v>3</v>
      </c>
      <c r="H3" s="12"/>
      <c r="I3" s="13"/>
      <c r="J3" s="13"/>
      <c r="K3" s="14"/>
      <c r="L3" s="13"/>
      <c r="M3" s="13"/>
    </row>
    <row r="4">
      <c r="A4" s="16" t="s">
        <v>4</v>
      </c>
      <c r="B4" s="16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7" t="s">
        <v>11</v>
      </c>
      <c r="I4" s="18" t="s">
        <v>12</v>
      </c>
      <c r="J4" s="18" t="s">
        <v>13</v>
      </c>
      <c r="K4" s="18" t="s">
        <v>14</v>
      </c>
      <c r="L4" s="18" t="s">
        <v>15</v>
      </c>
      <c r="M4" s="18" t="s">
        <v>16</v>
      </c>
      <c r="N4" s="19" t="s">
        <v>17</v>
      </c>
      <c r="O4" s="20" t="s">
        <v>18</v>
      </c>
      <c r="P4" s="20" t="s">
        <v>19</v>
      </c>
      <c r="Q4" s="20" t="s">
        <v>20</v>
      </c>
      <c r="R4" s="20" t="s">
        <v>21</v>
      </c>
      <c r="S4" s="20" t="s">
        <v>22</v>
      </c>
      <c r="T4" s="20" t="s">
        <v>23</v>
      </c>
      <c r="U4" s="20" t="s">
        <v>24</v>
      </c>
      <c r="V4" s="21"/>
      <c r="W4" s="21"/>
      <c r="X4" s="21"/>
      <c r="Y4" s="21"/>
      <c r="Z4" s="21"/>
    </row>
    <row r="5">
      <c r="A5" s="22"/>
      <c r="B5" s="22" t="s">
        <v>25</v>
      </c>
      <c r="C5" s="22"/>
      <c r="D5" s="23">
        <v>3900.0</v>
      </c>
      <c r="E5" s="23">
        <v>3000.0</v>
      </c>
      <c r="F5" s="23">
        <v>15800.0</v>
      </c>
      <c r="G5" s="24">
        <v>0.108</v>
      </c>
      <c r="H5" s="25">
        <f t="shared" ref="H5:H170" si="1">F5-(F5*0.4)-(E5+(F5*G5))-J5</f>
        <v>4054.24</v>
      </c>
      <c r="I5" s="26">
        <f t="shared" ref="I5:I102" si="2">IFERROR(F5*G5,0)</f>
        <v>1706.4</v>
      </c>
      <c r="J5" s="26">
        <f t="shared" ref="J5:J102" si="3">(F5)*10%-(D5+E5+I5)*10%</f>
        <v>719.36</v>
      </c>
      <c r="K5" s="26">
        <f t="shared" ref="K5:K102" si="4">F5-D5-E5-I5-J5</f>
        <v>6474.24</v>
      </c>
      <c r="L5" s="27">
        <f t="shared" ref="L5:L102" si="5">IF(ISERROR(K5/F5),"", K5/F5)</f>
        <v>0.4097620253</v>
      </c>
      <c r="M5" s="28">
        <f t="shared" ref="M5:M102" si="6">IFERROR((11000/L5)/10000,0)</f>
        <v>2.684484974</v>
      </c>
      <c r="N5" s="29" t="b">
        <v>0</v>
      </c>
      <c r="O5" s="29" t="b">
        <v>0</v>
      </c>
      <c r="P5" s="29" t="b">
        <v>0</v>
      </c>
      <c r="Q5" s="29" t="b">
        <v>0</v>
      </c>
      <c r="R5" s="29" t="b">
        <v>0</v>
      </c>
      <c r="S5" s="30" t="b">
        <v>0</v>
      </c>
      <c r="T5" s="30" t="b">
        <v>0</v>
      </c>
      <c r="U5" s="30" t="b">
        <v>0</v>
      </c>
    </row>
    <row r="6">
      <c r="A6" s="22"/>
      <c r="B6" s="22" t="s">
        <v>26</v>
      </c>
      <c r="C6" s="22"/>
      <c r="D6" s="23">
        <v>10500.0</v>
      </c>
      <c r="E6" s="23">
        <v>3200.0</v>
      </c>
      <c r="F6" s="23">
        <v>30000.0</v>
      </c>
      <c r="G6" s="24">
        <v>0.108</v>
      </c>
      <c r="H6" s="25">
        <f t="shared" si="1"/>
        <v>10254</v>
      </c>
      <c r="I6" s="26">
        <f t="shared" si="2"/>
        <v>3240</v>
      </c>
      <c r="J6" s="26">
        <f t="shared" si="3"/>
        <v>1306</v>
      </c>
      <c r="K6" s="26">
        <f t="shared" si="4"/>
        <v>11754</v>
      </c>
      <c r="L6" s="27">
        <f t="shared" si="5"/>
        <v>0.3918</v>
      </c>
      <c r="M6" s="28">
        <f t="shared" si="6"/>
        <v>2.807554875</v>
      </c>
      <c r="N6" s="30" t="b">
        <v>0</v>
      </c>
      <c r="O6" s="30" t="b">
        <v>0</v>
      </c>
      <c r="P6" s="30" t="b">
        <v>0</v>
      </c>
      <c r="Q6" s="30" t="b">
        <v>0</v>
      </c>
      <c r="R6" s="30" t="b">
        <v>0</v>
      </c>
      <c r="S6" s="30" t="b">
        <v>0</v>
      </c>
      <c r="T6" s="30" t="b">
        <v>0</v>
      </c>
      <c r="U6" s="30" t="b">
        <v>0</v>
      </c>
    </row>
    <row r="7">
      <c r="A7" s="22"/>
      <c r="B7" s="22"/>
      <c r="C7" s="22"/>
      <c r="D7" s="23">
        <v>45000.0</v>
      </c>
      <c r="E7" s="23">
        <v>3000.0</v>
      </c>
      <c r="F7" s="23">
        <v>120000.0</v>
      </c>
      <c r="G7" s="24">
        <v>0.108</v>
      </c>
      <c r="H7" s="25">
        <f t="shared" si="1"/>
        <v>50136</v>
      </c>
      <c r="I7" s="26">
        <f t="shared" si="2"/>
        <v>12960</v>
      </c>
      <c r="J7" s="26">
        <f t="shared" si="3"/>
        <v>5904</v>
      </c>
      <c r="K7" s="26">
        <f t="shared" si="4"/>
        <v>53136</v>
      </c>
      <c r="L7" s="27">
        <f t="shared" si="5"/>
        <v>0.4428</v>
      </c>
      <c r="M7" s="28">
        <f t="shared" si="6"/>
        <v>2.484191509</v>
      </c>
      <c r="N7" s="30" t="b">
        <v>0</v>
      </c>
      <c r="O7" s="30" t="b">
        <v>0</v>
      </c>
      <c r="P7" s="30" t="b">
        <v>0</v>
      </c>
      <c r="Q7" s="30" t="b">
        <v>0</v>
      </c>
      <c r="R7" s="30" t="b">
        <v>0</v>
      </c>
      <c r="S7" s="30" t="b">
        <v>0</v>
      </c>
      <c r="T7" s="30" t="b">
        <v>0</v>
      </c>
      <c r="U7" s="30" t="b">
        <v>0</v>
      </c>
    </row>
    <row r="8">
      <c r="A8" s="22"/>
      <c r="B8" s="22"/>
      <c r="C8" s="22"/>
      <c r="D8" s="23">
        <v>3000.0</v>
      </c>
      <c r="E8" s="23">
        <v>2500.0</v>
      </c>
      <c r="F8" s="23">
        <v>12800.0</v>
      </c>
      <c r="G8" s="24">
        <v>0.108</v>
      </c>
      <c r="H8" s="25">
        <f t="shared" si="1"/>
        <v>3205.84</v>
      </c>
      <c r="I8" s="26">
        <f t="shared" si="2"/>
        <v>1382.4</v>
      </c>
      <c r="J8" s="26">
        <f t="shared" si="3"/>
        <v>591.76</v>
      </c>
      <c r="K8" s="26">
        <f t="shared" si="4"/>
        <v>5325.84</v>
      </c>
      <c r="L8" s="27">
        <f t="shared" si="5"/>
        <v>0.41608125</v>
      </c>
      <c r="M8" s="28">
        <f t="shared" si="6"/>
        <v>2.643714419</v>
      </c>
      <c r="N8" s="30" t="b">
        <v>0</v>
      </c>
      <c r="O8" s="30" t="b">
        <v>0</v>
      </c>
      <c r="P8" s="30" t="b">
        <v>0</v>
      </c>
      <c r="Q8" s="30" t="b">
        <v>0</v>
      </c>
      <c r="R8" s="30" t="b">
        <v>0</v>
      </c>
      <c r="S8" s="30" t="b">
        <v>0</v>
      </c>
      <c r="T8" s="30" t="b">
        <v>0</v>
      </c>
      <c r="U8" s="30" t="b">
        <v>0</v>
      </c>
    </row>
    <row r="9">
      <c r="A9" s="22"/>
      <c r="B9" s="22"/>
      <c r="C9" s="22"/>
      <c r="D9" s="23"/>
      <c r="E9" s="23"/>
      <c r="F9" s="23"/>
      <c r="G9" s="24">
        <v>0.108</v>
      </c>
      <c r="H9" s="25">
        <f t="shared" si="1"/>
        <v>0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7" t="str">
        <f t="shared" si="5"/>
        <v/>
      </c>
      <c r="M9" s="28">
        <f t="shared" si="6"/>
        <v>0</v>
      </c>
      <c r="N9" s="30" t="b">
        <v>0</v>
      </c>
      <c r="O9" s="30" t="b">
        <v>0</v>
      </c>
      <c r="P9" s="30" t="b">
        <v>0</v>
      </c>
      <c r="Q9" s="30" t="b">
        <v>0</v>
      </c>
      <c r="R9" s="30" t="b">
        <v>0</v>
      </c>
      <c r="S9" s="30" t="b">
        <v>0</v>
      </c>
      <c r="T9" s="30" t="b">
        <v>0</v>
      </c>
      <c r="U9" s="30" t="b">
        <v>0</v>
      </c>
    </row>
    <row r="10">
      <c r="A10" s="22"/>
      <c r="C10" s="31"/>
      <c r="D10" s="23"/>
      <c r="E10" s="23"/>
      <c r="F10" s="23"/>
      <c r="G10" s="24">
        <v>0.108</v>
      </c>
      <c r="H10" s="25">
        <f t="shared" si="1"/>
        <v>0</v>
      </c>
      <c r="I10" s="26">
        <f t="shared" si="2"/>
        <v>0</v>
      </c>
      <c r="J10" s="26">
        <f t="shared" si="3"/>
        <v>0</v>
      </c>
      <c r="K10" s="26">
        <f t="shared" si="4"/>
        <v>0</v>
      </c>
      <c r="L10" s="27" t="str">
        <f t="shared" si="5"/>
        <v/>
      </c>
      <c r="M10" s="28">
        <f t="shared" si="6"/>
        <v>0</v>
      </c>
      <c r="N10" s="30" t="b">
        <v>0</v>
      </c>
      <c r="O10" s="30" t="b">
        <v>0</v>
      </c>
      <c r="P10" s="30" t="b">
        <v>0</v>
      </c>
      <c r="Q10" s="30" t="b">
        <v>0</v>
      </c>
      <c r="R10" s="30" t="b">
        <v>0</v>
      </c>
      <c r="S10" s="30" t="b">
        <v>0</v>
      </c>
      <c r="T10" s="30" t="b">
        <v>0</v>
      </c>
      <c r="U10" s="30" t="b">
        <v>0</v>
      </c>
    </row>
    <row r="11">
      <c r="A11" s="22"/>
      <c r="C11" s="32"/>
      <c r="D11" s="23"/>
      <c r="E11" s="23"/>
      <c r="F11" s="23"/>
      <c r="G11" s="24">
        <v>0.108</v>
      </c>
      <c r="H11" s="25">
        <f t="shared" si="1"/>
        <v>0</v>
      </c>
      <c r="I11" s="26">
        <f t="shared" si="2"/>
        <v>0</v>
      </c>
      <c r="J11" s="26">
        <f t="shared" si="3"/>
        <v>0</v>
      </c>
      <c r="K11" s="26">
        <f t="shared" si="4"/>
        <v>0</v>
      </c>
      <c r="L11" s="27" t="str">
        <f t="shared" si="5"/>
        <v/>
      </c>
      <c r="M11" s="28">
        <f t="shared" si="6"/>
        <v>0</v>
      </c>
      <c r="N11" s="30" t="b">
        <v>0</v>
      </c>
      <c r="O11" s="30" t="b">
        <v>0</v>
      </c>
      <c r="P11" s="30" t="b">
        <v>0</v>
      </c>
      <c r="Q11" s="30" t="b">
        <v>0</v>
      </c>
      <c r="R11" s="30" t="b">
        <v>0</v>
      </c>
      <c r="S11" s="30" t="b">
        <v>0</v>
      </c>
      <c r="T11" s="30" t="b">
        <v>0</v>
      </c>
      <c r="U11" s="30" t="b">
        <v>0</v>
      </c>
    </row>
    <row r="12">
      <c r="A12" s="22"/>
      <c r="B12" s="22"/>
      <c r="C12" s="32"/>
      <c r="D12" s="23"/>
      <c r="E12" s="23"/>
      <c r="F12" s="23"/>
      <c r="G12" s="24">
        <v>0.108</v>
      </c>
      <c r="H12" s="25">
        <f t="shared" si="1"/>
        <v>0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7" t="str">
        <f t="shared" si="5"/>
        <v/>
      </c>
      <c r="M12" s="28">
        <f t="shared" si="6"/>
        <v>0</v>
      </c>
      <c r="N12" s="30" t="b">
        <v>0</v>
      </c>
      <c r="O12" s="30" t="b">
        <v>0</v>
      </c>
      <c r="P12" s="30" t="b">
        <v>0</v>
      </c>
      <c r="Q12" s="30" t="b">
        <v>0</v>
      </c>
      <c r="R12" s="30" t="b">
        <v>0</v>
      </c>
      <c r="S12" s="30" t="b">
        <v>0</v>
      </c>
      <c r="T12" s="30" t="b">
        <v>0</v>
      </c>
      <c r="U12" s="30" t="b">
        <v>0</v>
      </c>
    </row>
    <row r="13">
      <c r="A13" s="33"/>
      <c r="B13" s="33"/>
      <c r="C13" s="33"/>
      <c r="D13" s="34"/>
      <c r="E13" s="34"/>
      <c r="F13" s="34"/>
      <c r="G13" s="24">
        <v>0.108</v>
      </c>
      <c r="H13" s="25">
        <f t="shared" si="1"/>
        <v>0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7" t="str">
        <f t="shared" si="5"/>
        <v/>
      </c>
      <c r="M13" s="28">
        <f t="shared" si="6"/>
        <v>0</v>
      </c>
      <c r="N13" s="30" t="b">
        <v>0</v>
      </c>
      <c r="O13" s="30" t="b">
        <v>0</v>
      </c>
      <c r="P13" s="30" t="b">
        <v>0</v>
      </c>
      <c r="Q13" s="30" t="b">
        <v>0</v>
      </c>
      <c r="R13" s="30" t="b">
        <v>0</v>
      </c>
      <c r="S13" s="30" t="b">
        <v>0</v>
      </c>
      <c r="T13" s="30" t="b">
        <v>0</v>
      </c>
      <c r="U13" s="30" t="b">
        <v>0</v>
      </c>
    </row>
    <row r="14">
      <c r="A14" s="33"/>
      <c r="B14" s="33"/>
      <c r="C14" s="33"/>
      <c r="D14" s="34"/>
      <c r="E14" s="34"/>
      <c r="F14" s="34"/>
      <c r="G14" s="24">
        <v>0.108</v>
      </c>
      <c r="H14" s="25">
        <f t="shared" si="1"/>
        <v>0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7" t="str">
        <f t="shared" si="5"/>
        <v/>
      </c>
      <c r="M14" s="28">
        <f t="shared" si="6"/>
        <v>0</v>
      </c>
      <c r="N14" s="30" t="b">
        <v>0</v>
      </c>
      <c r="O14" s="30" t="b">
        <v>0</v>
      </c>
      <c r="P14" s="30" t="b">
        <v>0</v>
      </c>
      <c r="Q14" s="30" t="b">
        <v>0</v>
      </c>
      <c r="R14" s="30" t="b">
        <v>0</v>
      </c>
      <c r="S14" s="30" t="b">
        <v>0</v>
      </c>
      <c r="T14" s="30" t="b">
        <v>0</v>
      </c>
      <c r="U14" s="30" t="b">
        <v>0</v>
      </c>
    </row>
    <row r="15">
      <c r="A15" s="33"/>
      <c r="B15" s="33"/>
      <c r="C15" s="33"/>
      <c r="D15" s="34"/>
      <c r="E15" s="34"/>
      <c r="F15" s="34"/>
      <c r="G15" s="24">
        <v>0.108</v>
      </c>
      <c r="H15" s="25">
        <f t="shared" si="1"/>
        <v>0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7" t="str">
        <f t="shared" si="5"/>
        <v/>
      </c>
      <c r="M15" s="28">
        <f t="shared" si="6"/>
        <v>0</v>
      </c>
      <c r="N15" s="30" t="b">
        <v>0</v>
      </c>
      <c r="O15" s="30" t="b">
        <v>0</v>
      </c>
      <c r="P15" s="30" t="b">
        <v>0</v>
      </c>
      <c r="Q15" s="30" t="b">
        <v>0</v>
      </c>
      <c r="R15" s="30" t="b">
        <v>0</v>
      </c>
      <c r="S15" s="30" t="b">
        <v>0</v>
      </c>
      <c r="T15" s="30" t="b">
        <v>0</v>
      </c>
      <c r="U15" s="30" t="b">
        <v>0</v>
      </c>
    </row>
    <row r="16">
      <c r="A16" s="33"/>
      <c r="B16" s="33"/>
      <c r="C16" s="33"/>
      <c r="D16" s="34"/>
      <c r="E16" s="34"/>
      <c r="F16" s="34"/>
      <c r="G16" s="24">
        <v>0.108</v>
      </c>
      <c r="H16" s="25">
        <f t="shared" si="1"/>
        <v>0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7" t="str">
        <f t="shared" si="5"/>
        <v/>
      </c>
      <c r="M16" s="28">
        <f t="shared" si="6"/>
        <v>0</v>
      </c>
      <c r="N16" s="30" t="b">
        <v>0</v>
      </c>
      <c r="O16" s="30" t="b">
        <v>0</v>
      </c>
      <c r="P16" s="30" t="b">
        <v>0</v>
      </c>
      <c r="Q16" s="30" t="b">
        <v>0</v>
      </c>
      <c r="R16" s="30" t="b">
        <v>0</v>
      </c>
      <c r="S16" s="30" t="b">
        <v>0</v>
      </c>
      <c r="T16" s="30" t="b">
        <v>0</v>
      </c>
      <c r="U16" s="30" t="b">
        <v>0</v>
      </c>
    </row>
    <row r="17">
      <c r="A17" s="33"/>
      <c r="B17" s="33"/>
      <c r="C17" s="33"/>
      <c r="D17" s="34"/>
      <c r="E17" s="34"/>
      <c r="F17" s="34"/>
      <c r="G17" s="24">
        <v>0.108</v>
      </c>
      <c r="H17" s="25">
        <f t="shared" si="1"/>
        <v>0</v>
      </c>
      <c r="I17" s="26">
        <f t="shared" si="2"/>
        <v>0</v>
      </c>
      <c r="J17" s="26">
        <f t="shared" si="3"/>
        <v>0</v>
      </c>
      <c r="K17" s="26">
        <f t="shared" si="4"/>
        <v>0</v>
      </c>
      <c r="L17" s="27" t="str">
        <f t="shared" si="5"/>
        <v/>
      </c>
      <c r="M17" s="28">
        <f t="shared" si="6"/>
        <v>0</v>
      </c>
      <c r="N17" s="30" t="b">
        <v>0</v>
      </c>
      <c r="O17" s="30" t="b">
        <v>0</v>
      </c>
      <c r="P17" s="30" t="b">
        <v>0</v>
      </c>
      <c r="Q17" s="30" t="b">
        <v>0</v>
      </c>
      <c r="R17" s="30" t="b">
        <v>0</v>
      </c>
      <c r="S17" s="30" t="b">
        <v>0</v>
      </c>
      <c r="T17" s="30" t="b">
        <v>0</v>
      </c>
      <c r="U17" s="30" t="b">
        <v>0</v>
      </c>
    </row>
    <row r="18">
      <c r="A18" s="33"/>
      <c r="B18" s="33"/>
      <c r="C18" s="33"/>
      <c r="D18" s="34"/>
      <c r="E18" s="34"/>
      <c r="F18" s="34"/>
      <c r="G18" s="24">
        <v>0.108</v>
      </c>
      <c r="H18" s="25">
        <f t="shared" si="1"/>
        <v>0</v>
      </c>
      <c r="I18" s="26">
        <f t="shared" si="2"/>
        <v>0</v>
      </c>
      <c r="J18" s="26">
        <f t="shared" si="3"/>
        <v>0</v>
      </c>
      <c r="K18" s="26">
        <f t="shared" si="4"/>
        <v>0</v>
      </c>
      <c r="L18" s="27" t="str">
        <f t="shared" si="5"/>
        <v/>
      </c>
      <c r="M18" s="28">
        <f t="shared" si="6"/>
        <v>0</v>
      </c>
      <c r="N18" s="30" t="b">
        <v>0</v>
      </c>
      <c r="O18" s="30" t="b">
        <v>0</v>
      </c>
      <c r="P18" s="30" t="b">
        <v>0</v>
      </c>
      <c r="Q18" s="30" t="b">
        <v>0</v>
      </c>
      <c r="R18" s="30" t="b">
        <v>0</v>
      </c>
      <c r="S18" s="30" t="b">
        <v>0</v>
      </c>
      <c r="T18" s="30" t="b">
        <v>0</v>
      </c>
      <c r="U18" s="30" t="b">
        <v>0</v>
      </c>
    </row>
    <row r="19">
      <c r="A19" s="33"/>
      <c r="B19" s="33"/>
      <c r="C19" s="33"/>
      <c r="D19" s="34"/>
      <c r="E19" s="34"/>
      <c r="F19" s="34"/>
      <c r="G19" s="24">
        <v>0.108</v>
      </c>
      <c r="H19" s="25">
        <f t="shared" si="1"/>
        <v>0</v>
      </c>
      <c r="I19" s="26">
        <f t="shared" si="2"/>
        <v>0</v>
      </c>
      <c r="J19" s="26">
        <f t="shared" si="3"/>
        <v>0</v>
      </c>
      <c r="K19" s="26">
        <f t="shared" si="4"/>
        <v>0</v>
      </c>
      <c r="L19" s="27" t="str">
        <f t="shared" si="5"/>
        <v/>
      </c>
      <c r="M19" s="28">
        <f t="shared" si="6"/>
        <v>0</v>
      </c>
      <c r="N19" s="30" t="b">
        <v>0</v>
      </c>
      <c r="O19" s="30" t="b">
        <v>0</v>
      </c>
      <c r="P19" s="30" t="b">
        <v>0</v>
      </c>
      <c r="Q19" s="30" t="b">
        <v>0</v>
      </c>
      <c r="R19" s="30" t="b">
        <v>0</v>
      </c>
      <c r="S19" s="30" t="b">
        <v>0</v>
      </c>
      <c r="T19" s="30" t="b">
        <v>0</v>
      </c>
      <c r="U19" s="30" t="b">
        <v>0</v>
      </c>
    </row>
    <row r="20">
      <c r="A20" s="33"/>
      <c r="B20" s="33"/>
      <c r="C20" s="33"/>
      <c r="D20" s="34"/>
      <c r="E20" s="34"/>
      <c r="F20" s="34"/>
      <c r="G20" s="24">
        <v>0.108</v>
      </c>
      <c r="H20" s="25">
        <f t="shared" si="1"/>
        <v>0</v>
      </c>
      <c r="I20" s="26">
        <f t="shared" si="2"/>
        <v>0</v>
      </c>
      <c r="J20" s="26">
        <f t="shared" si="3"/>
        <v>0</v>
      </c>
      <c r="K20" s="26">
        <f t="shared" si="4"/>
        <v>0</v>
      </c>
      <c r="L20" s="27" t="str">
        <f t="shared" si="5"/>
        <v/>
      </c>
      <c r="M20" s="28">
        <f t="shared" si="6"/>
        <v>0</v>
      </c>
      <c r="N20" s="30" t="b">
        <v>0</v>
      </c>
      <c r="O20" s="30" t="b">
        <v>0</v>
      </c>
      <c r="P20" s="30" t="b">
        <v>0</v>
      </c>
      <c r="Q20" s="30" t="b">
        <v>0</v>
      </c>
      <c r="R20" s="30" t="b">
        <v>0</v>
      </c>
      <c r="S20" s="30" t="b">
        <v>0</v>
      </c>
      <c r="T20" s="30" t="b">
        <v>0</v>
      </c>
      <c r="U20" s="30" t="b">
        <v>0</v>
      </c>
    </row>
    <row r="21">
      <c r="A21" s="33"/>
      <c r="B21" s="33"/>
      <c r="C21" s="33"/>
      <c r="D21" s="34"/>
      <c r="E21" s="34"/>
      <c r="F21" s="34"/>
      <c r="G21" s="24">
        <v>0.108</v>
      </c>
      <c r="H21" s="25">
        <f t="shared" si="1"/>
        <v>0</v>
      </c>
      <c r="I21" s="26">
        <f t="shared" si="2"/>
        <v>0</v>
      </c>
      <c r="J21" s="26">
        <f t="shared" si="3"/>
        <v>0</v>
      </c>
      <c r="K21" s="26">
        <f t="shared" si="4"/>
        <v>0</v>
      </c>
      <c r="L21" s="27" t="str">
        <f t="shared" si="5"/>
        <v/>
      </c>
      <c r="M21" s="28">
        <f t="shared" si="6"/>
        <v>0</v>
      </c>
      <c r="N21" s="30" t="b">
        <v>0</v>
      </c>
      <c r="O21" s="30" t="b">
        <v>0</v>
      </c>
      <c r="P21" s="30" t="b">
        <v>0</v>
      </c>
      <c r="Q21" s="30" t="b">
        <v>0</v>
      </c>
      <c r="R21" s="30" t="b">
        <v>0</v>
      </c>
      <c r="S21" s="30" t="b">
        <v>0</v>
      </c>
      <c r="T21" s="30" t="b">
        <v>0</v>
      </c>
      <c r="U21" s="30" t="b">
        <v>0</v>
      </c>
    </row>
    <row r="22">
      <c r="A22" s="33"/>
      <c r="B22" s="33"/>
      <c r="C22" s="33"/>
      <c r="D22" s="34"/>
      <c r="E22" s="34"/>
      <c r="F22" s="34"/>
      <c r="G22" s="24">
        <v>0.108</v>
      </c>
      <c r="H22" s="25">
        <f t="shared" si="1"/>
        <v>0</v>
      </c>
      <c r="I22" s="26">
        <f t="shared" si="2"/>
        <v>0</v>
      </c>
      <c r="J22" s="26">
        <f t="shared" si="3"/>
        <v>0</v>
      </c>
      <c r="K22" s="26">
        <f t="shared" si="4"/>
        <v>0</v>
      </c>
      <c r="L22" s="27" t="str">
        <f t="shared" si="5"/>
        <v/>
      </c>
      <c r="M22" s="28">
        <f t="shared" si="6"/>
        <v>0</v>
      </c>
      <c r="N22" s="30" t="b">
        <v>0</v>
      </c>
      <c r="O22" s="30" t="b">
        <v>0</v>
      </c>
      <c r="P22" s="30" t="b">
        <v>0</v>
      </c>
      <c r="Q22" s="30" t="b">
        <v>0</v>
      </c>
      <c r="R22" s="30" t="b">
        <v>0</v>
      </c>
      <c r="S22" s="30" t="b">
        <v>0</v>
      </c>
      <c r="T22" s="30" t="b">
        <v>0</v>
      </c>
      <c r="U22" s="30" t="b">
        <v>0</v>
      </c>
    </row>
    <row r="23">
      <c r="A23" s="33"/>
      <c r="B23" s="33"/>
      <c r="C23" s="33"/>
      <c r="D23" s="34"/>
      <c r="E23" s="34"/>
      <c r="F23" s="34"/>
      <c r="G23" s="24">
        <v>0.108</v>
      </c>
      <c r="H23" s="25">
        <f t="shared" si="1"/>
        <v>0</v>
      </c>
      <c r="I23" s="26">
        <f t="shared" si="2"/>
        <v>0</v>
      </c>
      <c r="J23" s="26">
        <f t="shared" si="3"/>
        <v>0</v>
      </c>
      <c r="K23" s="26">
        <f t="shared" si="4"/>
        <v>0</v>
      </c>
      <c r="L23" s="27" t="str">
        <f t="shared" si="5"/>
        <v/>
      </c>
      <c r="M23" s="28">
        <f t="shared" si="6"/>
        <v>0</v>
      </c>
      <c r="N23" s="30" t="b">
        <v>0</v>
      </c>
      <c r="O23" s="30" t="b">
        <v>0</v>
      </c>
      <c r="P23" s="30" t="b">
        <v>0</v>
      </c>
      <c r="Q23" s="30" t="b">
        <v>0</v>
      </c>
      <c r="R23" s="30" t="b">
        <v>0</v>
      </c>
      <c r="S23" s="30" t="b">
        <v>0</v>
      </c>
      <c r="T23" s="30" t="b">
        <v>0</v>
      </c>
      <c r="U23" s="30" t="b">
        <v>0</v>
      </c>
    </row>
    <row r="24">
      <c r="A24" s="33"/>
      <c r="B24" s="33"/>
      <c r="C24" s="33"/>
      <c r="D24" s="34"/>
      <c r="E24" s="34"/>
      <c r="F24" s="34"/>
      <c r="G24" s="24">
        <v>0.108</v>
      </c>
      <c r="H24" s="25">
        <f t="shared" si="1"/>
        <v>0</v>
      </c>
      <c r="I24" s="26">
        <f t="shared" si="2"/>
        <v>0</v>
      </c>
      <c r="J24" s="26">
        <f t="shared" si="3"/>
        <v>0</v>
      </c>
      <c r="K24" s="26">
        <f t="shared" si="4"/>
        <v>0</v>
      </c>
      <c r="L24" s="27" t="str">
        <f t="shared" si="5"/>
        <v/>
      </c>
      <c r="M24" s="28">
        <f t="shared" si="6"/>
        <v>0</v>
      </c>
      <c r="N24" s="30" t="b">
        <v>0</v>
      </c>
      <c r="O24" s="30" t="b">
        <v>0</v>
      </c>
      <c r="P24" s="30" t="b">
        <v>0</v>
      </c>
      <c r="Q24" s="30" t="b">
        <v>0</v>
      </c>
      <c r="R24" s="30" t="b">
        <v>0</v>
      </c>
      <c r="S24" s="30" t="b">
        <v>0</v>
      </c>
      <c r="T24" s="30" t="b">
        <v>0</v>
      </c>
      <c r="U24" s="30" t="b">
        <v>0</v>
      </c>
    </row>
    <row r="25">
      <c r="A25" s="33"/>
      <c r="B25" s="33"/>
      <c r="C25" s="33"/>
      <c r="D25" s="34"/>
      <c r="E25" s="34"/>
      <c r="F25" s="34"/>
      <c r="G25" s="24">
        <v>0.108</v>
      </c>
      <c r="H25" s="25">
        <f t="shared" si="1"/>
        <v>0</v>
      </c>
      <c r="I25" s="26">
        <f t="shared" si="2"/>
        <v>0</v>
      </c>
      <c r="J25" s="26">
        <f t="shared" si="3"/>
        <v>0</v>
      </c>
      <c r="K25" s="26">
        <f t="shared" si="4"/>
        <v>0</v>
      </c>
      <c r="L25" s="27" t="str">
        <f t="shared" si="5"/>
        <v/>
      </c>
      <c r="M25" s="28">
        <f t="shared" si="6"/>
        <v>0</v>
      </c>
      <c r="N25" s="30" t="b">
        <v>0</v>
      </c>
      <c r="O25" s="30" t="b">
        <v>0</v>
      </c>
      <c r="P25" s="30" t="b">
        <v>0</v>
      </c>
      <c r="Q25" s="30" t="b">
        <v>0</v>
      </c>
      <c r="R25" s="30" t="b">
        <v>0</v>
      </c>
      <c r="S25" s="30" t="b">
        <v>0</v>
      </c>
      <c r="T25" s="30" t="b">
        <v>0</v>
      </c>
      <c r="U25" s="30" t="b">
        <v>0</v>
      </c>
    </row>
    <row r="26">
      <c r="A26" s="33"/>
      <c r="B26" s="33"/>
      <c r="C26" s="33"/>
      <c r="D26" s="34"/>
      <c r="E26" s="34"/>
      <c r="F26" s="34"/>
      <c r="G26" s="24">
        <v>0.108</v>
      </c>
      <c r="H26" s="25">
        <f t="shared" si="1"/>
        <v>0</v>
      </c>
      <c r="I26" s="26">
        <f t="shared" si="2"/>
        <v>0</v>
      </c>
      <c r="J26" s="26">
        <f t="shared" si="3"/>
        <v>0</v>
      </c>
      <c r="K26" s="26">
        <f t="shared" si="4"/>
        <v>0</v>
      </c>
      <c r="L26" s="27" t="str">
        <f t="shared" si="5"/>
        <v/>
      </c>
      <c r="M26" s="28">
        <f t="shared" si="6"/>
        <v>0</v>
      </c>
      <c r="N26" s="30" t="b">
        <v>0</v>
      </c>
      <c r="O26" s="30" t="b">
        <v>0</v>
      </c>
      <c r="P26" s="30" t="b">
        <v>0</v>
      </c>
      <c r="Q26" s="30" t="b">
        <v>0</v>
      </c>
      <c r="R26" s="30" t="b">
        <v>0</v>
      </c>
      <c r="S26" s="30" t="b">
        <v>0</v>
      </c>
      <c r="T26" s="30" t="b">
        <v>0</v>
      </c>
      <c r="U26" s="30" t="b">
        <v>0</v>
      </c>
    </row>
    <row r="27">
      <c r="A27" s="33"/>
      <c r="B27" s="33"/>
      <c r="C27" s="33"/>
      <c r="D27" s="34"/>
      <c r="E27" s="34"/>
      <c r="F27" s="34"/>
      <c r="G27" s="24">
        <v>0.108</v>
      </c>
      <c r="H27" s="25">
        <f t="shared" si="1"/>
        <v>0</v>
      </c>
      <c r="I27" s="26">
        <f t="shared" si="2"/>
        <v>0</v>
      </c>
      <c r="J27" s="26">
        <f t="shared" si="3"/>
        <v>0</v>
      </c>
      <c r="K27" s="26">
        <f t="shared" si="4"/>
        <v>0</v>
      </c>
      <c r="L27" s="27" t="str">
        <f t="shared" si="5"/>
        <v/>
      </c>
      <c r="M27" s="28">
        <f t="shared" si="6"/>
        <v>0</v>
      </c>
      <c r="N27" s="30" t="b">
        <v>0</v>
      </c>
      <c r="O27" s="30" t="b">
        <v>0</v>
      </c>
      <c r="P27" s="30" t="b">
        <v>0</v>
      </c>
      <c r="Q27" s="30" t="b">
        <v>0</v>
      </c>
      <c r="R27" s="30" t="b">
        <v>0</v>
      </c>
      <c r="S27" s="30" t="b">
        <v>0</v>
      </c>
      <c r="T27" s="30" t="b">
        <v>0</v>
      </c>
      <c r="U27" s="30" t="b">
        <v>0</v>
      </c>
    </row>
    <row r="28">
      <c r="A28" s="33"/>
      <c r="B28" s="33"/>
      <c r="C28" s="33"/>
      <c r="D28" s="34"/>
      <c r="E28" s="34"/>
      <c r="F28" s="34"/>
      <c r="G28" s="24">
        <v>0.108</v>
      </c>
      <c r="H28" s="25">
        <f t="shared" si="1"/>
        <v>0</v>
      </c>
      <c r="I28" s="26">
        <f t="shared" si="2"/>
        <v>0</v>
      </c>
      <c r="J28" s="26">
        <f t="shared" si="3"/>
        <v>0</v>
      </c>
      <c r="K28" s="26">
        <f t="shared" si="4"/>
        <v>0</v>
      </c>
      <c r="L28" s="27" t="str">
        <f t="shared" si="5"/>
        <v/>
      </c>
      <c r="M28" s="28">
        <f t="shared" si="6"/>
        <v>0</v>
      </c>
      <c r="N28" s="30" t="b">
        <v>0</v>
      </c>
      <c r="O28" s="30" t="b">
        <v>0</v>
      </c>
      <c r="P28" s="30" t="b">
        <v>0</v>
      </c>
      <c r="Q28" s="30" t="b">
        <v>0</v>
      </c>
      <c r="R28" s="30" t="b">
        <v>0</v>
      </c>
      <c r="S28" s="30" t="b">
        <v>0</v>
      </c>
      <c r="T28" s="30" t="b">
        <v>0</v>
      </c>
      <c r="U28" s="30" t="b">
        <v>0</v>
      </c>
    </row>
    <row r="29">
      <c r="A29" s="33"/>
      <c r="B29" s="33"/>
      <c r="C29" s="33"/>
      <c r="D29" s="34"/>
      <c r="E29" s="34"/>
      <c r="F29" s="34"/>
      <c r="G29" s="24">
        <v>0.108</v>
      </c>
      <c r="H29" s="25">
        <f t="shared" si="1"/>
        <v>0</v>
      </c>
      <c r="I29" s="26">
        <f t="shared" si="2"/>
        <v>0</v>
      </c>
      <c r="J29" s="26">
        <f t="shared" si="3"/>
        <v>0</v>
      </c>
      <c r="K29" s="26">
        <f t="shared" si="4"/>
        <v>0</v>
      </c>
      <c r="L29" s="27" t="str">
        <f t="shared" si="5"/>
        <v/>
      </c>
      <c r="M29" s="28">
        <f t="shared" si="6"/>
        <v>0</v>
      </c>
      <c r="N29" s="30" t="b">
        <v>0</v>
      </c>
      <c r="O29" s="30" t="b">
        <v>0</v>
      </c>
      <c r="P29" s="30" t="b">
        <v>0</v>
      </c>
      <c r="Q29" s="30" t="b">
        <v>0</v>
      </c>
      <c r="R29" s="30" t="b">
        <v>0</v>
      </c>
      <c r="S29" s="30" t="b">
        <v>0</v>
      </c>
      <c r="T29" s="30" t="b">
        <v>0</v>
      </c>
      <c r="U29" s="30" t="b">
        <v>0</v>
      </c>
    </row>
    <row r="30">
      <c r="A30" s="33"/>
      <c r="B30" s="33"/>
      <c r="C30" s="33"/>
      <c r="D30" s="34"/>
      <c r="E30" s="34"/>
      <c r="F30" s="34"/>
      <c r="G30" s="24">
        <v>0.108</v>
      </c>
      <c r="H30" s="25">
        <f t="shared" si="1"/>
        <v>0</v>
      </c>
      <c r="I30" s="26">
        <f t="shared" si="2"/>
        <v>0</v>
      </c>
      <c r="J30" s="26">
        <f t="shared" si="3"/>
        <v>0</v>
      </c>
      <c r="K30" s="26">
        <f t="shared" si="4"/>
        <v>0</v>
      </c>
      <c r="L30" s="27" t="str">
        <f t="shared" si="5"/>
        <v/>
      </c>
      <c r="M30" s="28">
        <f t="shared" si="6"/>
        <v>0</v>
      </c>
      <c r="N30" s="30" t="b">
        <v>0</v>
      </c>
      <c r="O30" s="30" t="b">
        <v>0</v>
      </c>
      <c r="P30" s="30" t="b">
        <v>0</v>
      </c>
      <c r="Q30" s="30" t="b">
        <v>0</v>
      </c>
      <c r="R30" s="30" t="b">
        <v>0</v>
      </c>
      <c r="S30" s="30" t="b">
        <v>0</v>
      </c>
      <c r="T30" s="30" t="b">
        <v>0</v>
      </c>
      <c r="U30" s="30" t="b">
        <v>0</v>
      </c>
    </row>
    <row r="31">
      <c r="A31" s="33"/>
      <c r="B31" s="33"/>
      <c r="C31" s="33"/>
      <c r="D31" s="34"/>
      <c r="E31" s="34"/>
      <c r="F31" s="34"/>
      <c r="G31" s="24">
        <v>0.108</v>
      </c>
      <c r="H31" s="25">
        <f t="shared" si="1"/>
        <v>0</v>
      </c>
      <c r="I31" s="26">
        <f t="shared" si="2"/>
        <v>0</v>
      </c>
      <c r="J31" s="26">
        <f t="shared" si="3"/>
        <v>0</v>
      </c>
      <c r="K31" s="26">
        <f t="shared" si="4"/>
        <v>0</v>
      </c>
      <c r="L31" s="27" t="str">
        <f t="shared" si="5"/>
        <v/>
      </c>
      <c r="M31" s="28">
        <f t="shared" si="6"/>
        <v>0</v>
      </c>
      <c r="N31" s="30" t="b">
        <v>0</v>
      </c>
      <c r="O31" s="30" t="b">
        <v>0</v>
      </c>
      <c r="P31" s="30" t="b">
        <v>0</v>
      </c>
      <c r="Q31" s="30" t="b">
        <v>0</v>
      </c>
      <c r="R31" s="30" t="b">
        <v>0</v>
      </c>
      <c r="S31" s="30" t="b">
        <v>0</v>
      </c>
      <c r="T31" s="30" t="b">
        <v>0</v>
      </c>
      <c r="U31" s="30" t="b">
        <v>0</v>
      </c>
    </row>
    <row r="32">
      <c r="A32" s="33"/>
      <c r="B32" s="33"/>
      <c r="C32" s="33"/>
      <c r="D32" s="34"/>
      <c r="E32" s="34"/>
      <c r="F32" s="34"/>
      <c r="G32" s="24">
        <v>0.108</v>
      </c>
      <c r="H32" s="25">
        <f t="shared" si="1"/>
        <v>0</v>
      </c>
      <c r="I32" s="26">
        <f t="shared" si="2"/>
        <v>0</v>
      </c>
      <c r="J32" s="26">
        <f t="shared" si="3"/>
        <v>0</v>
      </c>
      <c r="K32" s="26">
        <f t="shared" si="4"/>
        <v>0</v>
      </c>
      <c r="L32" s="27" t="str">
        <f t="shared" si="5"/>
        <v/>
      </c>
      <c r="M32" s="28">
        <f t="shared" si="6"/>
        <v>0</v>
      </c>
      <c r="N32" s="30" t="b">
        <v>0</v>
      </c>
      <c r="O32" s="30" t="b">
        <v>0</v>
      </c>
      <c r="P32" s="30" t="b">
        <v>0</v>
      </c>
      <c r="Q32" s="30" t="b">
        <v>0</v>
      </c>
      <c r="R32" s="30" t="b">
        <v>0</v>
      </c>
      <c r="S32" s="30" t="b">
        <v>0</v>
      </c>
      <c r="T32" s="30" t="b">
        <v>0</v>
      </c>
      <c r="U32" s="30" t="b">
        <v>0</v>
      </c>
    </row>
    <row r="33">
      <c r="A33" s="33"/>
      <c r="B33" s="33"/>
      <c r="C33" s="33"/>
      <c r="D33" s="34"/>
      <c r="E33" s="34"/>
      <c r="F33" s="34"/>
      <c r="G33" s="24">
        <v>0.108</v>
      </c>
      <c r="H33" s="25">
        <f t="shared" si="1"/>
        <v>0</v>
      </c>
      <c r="I33" s="26">
        <f t="shared" si="2"/>
        <v>0</v>
      </c>
      <c r="J33" s="26">
        <f t="shared" si="3"/>
        <v>0</v>
      </c>
      <c r="K33" s="26">
        <f t="shared" si="4"/>
        <v>0</v>
      </c>
      <c r="L33" s="27" t="str">
        <f t="shared" si="5"/>
        <v/>
      </c>
      <c r="M33" s="28">
        <f t="shared" si="6"/>
        <v>0</v>
      </c>
      <c r="N33" s="30" t="b">
        <v>0</v>
      </c>
      <c r="O33" s="30" t="b">
        <v>0</v>
      </c>
      <c r="P33" s="30" t="b">
        <v>0</v>
      </c>
      <c r="Q33" s="30" t="b">
        <v>0</v>
      </c>
      <c r="R33" s="30" t="b">
        <v>0</v>
      </c>
      <c r="S33" s="30" t="b">
        <v>0</v>
      </c>
      <c r="T33" s="30" t="b">
        <v>0</v>
      </c>
      <c r="U33" s="30" t="b">
        <v>0</v>
      </c>
    </row>
    <row r="34">
      <c r="A34" s="33"/>
      <c r="B34" s="33"/>
      <c r="C34" s="33"/>
      <c r="D34" s="34"/>
      <c r="E34" s="34"/>
      <c r="F34" s="34"/>
      <c r="G34" s="24">
        <v>0.108</v>
      </c>
      <c r="H34" s="25">
        <f t="shared" si="1"/>
        <v>0</v>
      </c>
      <c r="I34" s="26">
        <f t="shared" si="2"/>
        <v>0</v>
      </c>
      <c r="J34" s="26">
        <f t="shared" si="3"/>
        <v>0</v>
      </c>
      <c r="K34" s="26">
        <f t="shared" si="4"/>
        <v>0</v>
      </c>
      <c r="L34" s="27" t="str">
        <f t="shared" si="5"/>
        <v/>
      </c>
      <c r="M34" s="28">
        <f t="shared" si="6"/>
        <v>0</v>
      </c>
      <c r="N34" s="30" t="b">
        <v>0</v>
      </c>
      <c r="O34" s="30" t="b">
        <v>0</v>
      </c>
      <c r="P34" s="30" t="b">
        <v>0</v>
      </c>
      <c r="Q34" s="30" t="b">
        <v>0</v>
      </c>
      <c r="R34" s="30" t="b">
        <v>0</v>
      </c>
      <c r="S34" s="30" t="b">
        <v>0</v>
      </c>
      <c r="T34" s="30" t="b">
        <v>0</v>
      </c>
      <c r="U34" s="30" t="b">
        <v>0</v>
      </c>
    </row>
    <row r="35">
      <c r="A35" s="33"/>
      <c r="B35" s="33"/>
      <c r="C35" s="33"/>
      <c r="D35" s="34"/>
      <c r="E35" s="34"/>
      <c r="F35" s="34"/>
      <c r="G35" s="24">
        <v>0.108</v>
      </c>
      <c r="H35" s="25">
        <f t="shared" si="1"/>
        <v>0</v>
      </c>
      <c r="I35" s="26">
        <f t="shared" si="2"/>
        <v>0</v>
      </c>
      <c r="J35" s="26">
        <f t="shared" si="3"/>
        <v>0</v>
      </c>
      <c r="K35" s="26">
        <f t="shared" si="4"/>
        <v>0</v>
      </c>
      <c r="L35" s="27" t="str">
        <f t="shared" si="5"/>
        <v/>
      </c>
      <c r="M35" s="28">
        <f t="shared" si="6"/>
        <v>0</v>
      </c>
      <c r="N35" s="30" t="b">
        <v>0</v>
      </c>
      <c r="O35" s="30" t="b">
        <v>0</v>
      </c>
      <c r="P35" s="30" t="b">
        <v>0</v>
      </c>
      <c r="Q35" s="30" t="b">
        <v>0</v>
      </c>
      <c r="R35" s="30" t="b">
        <v>0</v>
      </c>
      <c r="S35" s="30" t="b">
        <v>0</v>
      </c>
      <c r="T35" s="30" t="b">
        <v>0</v>
      </c>
      <c r="U35" s="30" t="b">
        <v>0</v>
      </c>
    </row>
    <row r="36">
      <c r="A36" s="33"/>
      <c r="B36" s="33"/>
      <c r="C36" s="33"/>
      <c r="D36" s="34"/>
      <c r="E36" s="34"/>
      <c r="F36" s="34"/>
      <c r="G36" s="24">
        <v>0.108</v>
      </c>
      <c r="H36" s="25">
        <f t="shared" si="1"/>
        <v>0</v>
      </c>
      <c r="I36" s="26">
        <f t="shared" si="2"/>
        <v>0</v>
      </c>
      <c r="J36" s="26">
        <f t="shared" si="3"/>
        <v>0</v>
      </c>
      <c r="K36" s="26">
        <f t="shared" si="4"/>
        <v>0</v>
      </c>
      <c r="L36" s="27" t="str">
        <f t="shared" si="5"/>
        <v/>
      </c>
      <c r="M36" s="28">
        <f t="shared" si="6"/>
        <v>0</v>
      </c>
      <c r="N36" s="30" t="b">
        <v>0</v>
      </c>
      <c r="O36" s="30" t="b">
        <v>0</v>
      </c>
      <c r="P36" s="30" t="b">
        <v>0</v>
      </c>
      <c r="Q36" s="30" t="b">
        <v>0</v>
      </c>
      <c r="R36" s="30" t="b">
        <v>0</v>
      </c>
      <c r="S36" s="30" t="b">
        <v>0</v>
      </c>
      <c r="T36" s="30" t="b">
        <v>0</v>
      </c>
      <c r="U36" s="30" t="b">
        <v>0</v>
      </c>
    </row>
    <row r="37">
      <c r="A37" s="33"/>
      <c r="B37" s="33"/>
      <c r="C37" s="33"/>
      <c r="D37" s="34"/>
      <c r="E37" s="34"/>
      <c r="F37" s="34"/>
      <c r="G37" s="24">
        <v>0.108</v>
      </c>
      <c r="H37" s="25">
        <f t="shared" si="1"/>
        <v>0</v>
      </c>
      <c r="I37" s="26">
        <f t="shared" si="2"/>
        <v>0</v>
      </c>
      <c r="J37" s="26">
        <f t="shared" si="3"/>
        <v>0</v>
      </c>
      <c r="K37" s="26">
        <f t="shared" si="4"/>
        <v>0</v>
      </c>
      <c r="L37" s="27" t="str">
        <f t="shared" si="5"/>
        <v/>
      </c>
      <c r="M37" s="28">
        <f t="shared" si="6"/>
        <v>0</v>
      </c>
      <c r="N37" s="30" t="b">
        <v>0</v>
      </c>
      <c r="O37" s="30" t="b">
        <v>0</v>
      </c>
      <c r="P37" s="30" t="b">
        <v>0</v>
      </c>
      <c r="Q37" s="30" t="b">
        <v>0</v>
      </c>
      <c r="R37" s="30" t="b">
        <v>0</v>
      </c>
      <c r="S37" s="30" t="b">
        <v>0</v>
      </c>
      <c r="T37" s="30" t="b">
        <v>0</v>
      </c>
      <c r="U37" s="30" t="b">
        <v>0</v>
      </c>
    </row>
    <row r="38">
      <c r="A38" s="33"/>
      <c r="B38" s="33"/>
      <c r="C38" s="33"/>
      <c r="D38" s="34"/>
      <c r="E38" s="34"/>
      <c r="F38" s="34"/>
      <c r="G38" s="24">
        <v>0.108</v>
      </c>
      <c r="H38" s="25">
        <f t="shared" si="1"/>
        <v>0</v>
      </c>
      <c r="I38" s="26">
        <f t="shared" si="2"/>
        <v>0</v>
      </c>
      <c r="J38" s="26">
        <f t="shared" si="3"/>
        <v>0</v>
      </c>
      <c r="K38" s="26">
        <f t="shared" si="4"/>
        <v>0</v>
      </c>
      <c r="L38" s="27" t="str">
        <f t="shared" si="5"/>
        <v/>
      </c>
      <c r="M38" s="28">
        <f t="shared" si="6"/>
        <v>0</v>
      </c>
      <c r="N38" s="30" t="b">
        <v>0</v>
      </c>
      <c r="O38" s="30" t="b">
        <v>0</v>
      </c>
      <c r="P38" s="30" t="b">
        <v>0</v>
      </c>
      <c r="Q38" s="30" t="b">
        <v>0</v>
      </c>
      <c r="R38" s="30" t="b">
        <v>0</v>
      </c>
      <c r="S38" s="30" t="b">
        <v>0</v>
      </c>
      <c r="T38" s="30" t="b">
        <v>0</v>
      </c>
      <c r="U38" s="30" t="b">
        <v>0</v>
      </c>
    </row>
    <row r="39">
      <c r="A39" s="33"/>
      <c r="B39" s="33"/>
      <c r="C39" s="33"/>
      <c r="D39" s="34"/>
      <c r="E39" s="34"/>
      <c r="F39" s="34"/>
      <c r="G39" s="24">
        <v>0.108</v>
      </c>
      <c r="H39" s="25">
        <f t="shared" si="1"/>
        <v>0</v>
      </c>
      <c r="I39" s="26">
        <f t="shared" si="2"/>
        <v>0</v>
      </c>
      <c r="J39" s="26">
        <f t="shared" si="3"/>
        <v>0</v>
      </c>
      <c r="K39" s="26">
        <f t="shared" si="4"/>
        <v>0</v>
      </c>
      <c r="L39" s="27" t="str">
        <f t="shared" si="5"/>
        <v/>
      </c>
      <c r="M39" s="28">
        <f t="shared" si="6"/>
        <v>0</v>
      </c>
      <c r="N39" s="30" t="b">
        <v>0</v>
      </c>
      <c r="O39" s="30" t="b">
        <v>0</v>
      </c>
      <c r="P39" s="30" t="b">
        <v>0</v>
      </c>
      <c r="Q39" s="30" t="b">
        <v>0</v>
      </c>
      <c r="R39" s="30" t="b">
        <v>0</v>
      </c>
      <c r="S39" s="30" t="b">
        <v>0</v>
      </c>
      <c r="T39" s="30" t="b">
        <v>0</v>
      </c>
      <c r="U39" s="30" t="b">
        <v>0</v>
      </c>
    </row>
    <row r="40">
      <c r="A40" s="33"/>
      <c r="B40" s="33"/>
      <c r="C40" s="33"/>
      <c r="D40" s="34"/>
      <c r="E40" s="34"/>
      <c r="F40" s="34"/>
      <c r="G40" s="24">
        <v>0.108</v>
      </c>
      <c r="H40" s="25">
        <f t="shared" si="1"/>
        <v>0</v>
      </c>
      <c r="I40" s="26">
        <f t="shared" si="2"/>
        <v>0</v>
      </c>
      <c r="J40" s="26">
        <f t="shared" si="3"/>
        <v>0</v>
      </c>
      <c r="K40" s="26">
        <f t="shared" si="4"/>
        <v>0</v>
      </c>
      <c r="L40" s="27" t="str">
        <f t="shared" si="5"/>
        <v/>
      </c>
      <c r="M40" s="28">
        <f t="shared" si="6"/>
        <v>0</v>
      </c>
      <c r="N40" s="30" t="b">
        <v>0</v>
      </c>
      <c r="O40" s="30" t="b">
        <v>0</v>
      </c>
      <c r="P40" s="30" t="b">
        <v>0</v>
      </c>
      <c r="Q40" s="30" t="b">
        <v>0</v>
      </c>
      <c r="R40" s="30" t="b">
        <v>0</v>
      </c>
      <c r="S40" s="30" t="b">
        <v>0</v>
      </c>
      <c r="T40" s="30" t="b">
        <v>0</v>
      </c>
      <c r="U40" s="30" t="b">
        <v>0</v>
      </c>
    </row>
    <row r="41">
      <c r="A41" s="33"/>
      <c r="B41" s="33"/>
      <c r="C41" s="33"/>
      <c r="D41" s="34"/>
      <c r="E41" s="34"/>
      <c r="F41" s="34"/>
      <c r="G41" s="24">
        <v>0.108</v>
      </c>
      <c r="H41" s="25">
        <f t="shared" si="1"/>
        <v>0</v>
      </c>
      <c r="I41" s="26">
        <f t="shared" si="2"/>
        <v>0</v>
      </c>
      <c r="J41" s="26">
        <f t="shared" si="3"/>
        <v>0</v>
      </c>
      <c r="K41" s="26">
        <f t="shared" si="4"/>
        <v>0</v>
      </c>
      <c r="L41" s="27" t="str">
        <f t="shared" si="5"/>
        <v/>
      </c>
      <c r="M41" s="28">
        <f t="shared" si="6"/>
        <v>0</v>
      </c>
      <c r="N41" s="30" t="b">
        <v>0</v>
      </c>
      <c r="O41" s="30" t="b">
        <v>0</v>
      </c>
      <c r="P41" s="30" t="b">
        <v>0</v>
      </c>
      <c r="Q41" s="30" t="b">
        <v>0</v>
      </c>
      <c r="R41" s="30" t="b">
        <v>0</v>
      </c>
      <c r="S41" s="30" t="b">
        <v>0</v>
      </c>
      <c r="T41" s="30" t="b">
        <v>0</v>
      </c>
      <c r="U41" s="30" t="b">
        <v>0</v>
      </c>
    </row>
    <row r="42">
      <c r="A42" s="33"/>
      <c r="B42" s="33"/>
      <c r="C42" s="33"/>
      <c r="D42" s="34"/>
      <c r="E42" s="34"/>
      <c r="F42" s="34"/>
      <c r="G42" s="24">
        <v>0.108</v>
      </c>
      <c r="H42" s="25">
        <f t="shared" si="1"/>
        <v>0</v>
      </c>
      <c r="I42" s="26">
        <f t="shared" si="2"/>
        <v>0</v>
      </c>
      <c r="J42" s="26">
        <f t="shared" si="3"/>
        <v>0</v>
      </c>
      <c r="K42" s="26">
        <f t="shared" si="4"/>
        <v>0</v>
      </c>
      <c r="L42" s="27" t="str">
        <f t="shared" si="5"/>
        <v/>
      </c>
      <c r="M42" s="28">
        <f t="shared" si="6"/>
        <v>0</v>
      </c>
      <c r="N42" s="30" t="b">
        <v>0</v>
      </c>
      <c r="O42" s="30" t="b">
        <v>0</v>
      </c>
      <c r="P42" s="30" t="b">
        <v>0</v>
      </c>
      <c r="Q42" s="30" t="b">
        <v>0</v>
      </c>
      <c r="R42" s="30" t="b">
        <v>0</v>
      </c>
      <c r="S42" s="30" t="b">
        <v>0</v>
      </c>
      <c r="T42" s="30" t="b">
        <v>0</v>
      </c>
      <c r="U42" s="30" t="b">
        <v>0</v>
      </c>
    </row>
    <row r="43">
      <c r="A43" s="33"/>
      <c r="B43" s="33"/>
      <c r="C43" s="33"/>
      <c r="D43" s="34"/>
      <c r="E43" s="34"/>
      <c r="F43" s="34"/>
      <c r="G43" s="24">
        <v>0.108</v>
      </c>
      <c r="H43" s="25">
        <f t="shared" si="1"/>
        <v>0</v>
      </c>
      <c r="I43" s="26">
        <f t="shared" si="2"/>
        <v>0</v>
      </c>
      <c r="J43" s="26">
        <f t="shared" si="3"/>
        <v>0</v>
      </c>
      <c r="K43" s="26">
        <f t="shared" si="4"/>
        <v>0</v>
      </c>
      <c r="L43" s="27" t="str">
        <f t="shared" si="5"/>
        <v/>
      </c>
      <c r="M43" s="28">
        <f t="shared" si="6"/>
        <v>0</v>
      </c>
      <c r="N43" s="30" t="b">
        <v>0</v>
      </c>
      <c r="O43" s="30" t="b">
        <v>0</v>
      </c>
      <c r="P43" s="30" t="b">
        <v>0</v>
      </c>
      <c r="Q43" s="30" t="b">
        <v>0</v>
      </c>
      <c r="R43" s="30" t="b">
        <v>0</v>
      </c>
      <c r="S43" s="30" t="b">
        <v>0</v>
      </c>
      <c r="T43" s="30" t="b">
        <v>0</v>
      </c>
      <c r="U43" s="30" t="b">
        <v>0</v>
      </c>
    </row>
    <row r="44">
      <c r="A44" s="33"/>
      <c r="B44" s="33"/>
      <c r="C44" s="33"/>
      <c r="D44" s="34"/>
      <c r="E44" s="34"/>
      <c r="F44" s="34"/>
      <c r="G44" s="24">
        <v>0.108</v>
      </c>
      <c r="H44" s="25">
        <f t="shared" si="1"/>
        <v>0</v>
      </c>
      <c r="I44" s="26">
        <f t="shared" si="2"/>
        <v>0</v>
      </c>
      <c r="J44" s="26">
        <f t="shared" si="3"/>
        <v>0</v>
      </c>
      <c r="K44" s="26">
        <f t="shared" si="4"/>
        <v>0</v>
      </c>
      <c r="L44" s="27" t="str">
        <f t="shared" si="5"/>
        <v/>
      </c>
      <c r="M44" s="28">
        <f t="shared" si="6"/>
        <v>0</v>
      </c>
      <c r="N44" s="30" t="b">
        <v>0</v>
      </c>
      <c r="O44" s="30" t="b">
        <v>0</v>
      </c>
      <c r="P44" s="30" t="b">
        <v>0</v>
      </c>
      <c r="Q44" s="30" t="b">
        <v>0</v>
      </c>
      <c r="R44" s="30" t="b">
        <v>0</v>
      </c>
      <c r="S44" s="30" t="b">
        <v>0</v>
      </c>
      <c r="T44" s="30" t="b">
        <v>0</v>
      </c>
      <c r="U44" s="30" t="b">
        <v>0</v>
      </c>
    </row>
    <row r="45">
      <c r="A45" s="33"/>
      <c r="B45" s="33"/>
      <c r="C45" s="33"/>
      <c r="D45" s="34"/>
      <c r="E45" s="34"/>
      <c r="F45" s="34"/>
      <c r="G45" s="24">
        <v>0.108</v>
      </c>
      <c r="H45" s="25">
        <f t="shared" si="1"/>
        <v>0</v>
      </c>
      <c r="I45" s="26">
        <f t="shared" si="2"/>
        <v>0</v>
      </c>
      <c r="J45" s="26">
        <f t="shared" si="3"/>
        <v>0</v>
      </c>
      <c r="K45" s="26">
        <f t="shared" si="4"/>
        <v>0</v>
      </c>
      <c r="L45" s="27" t="str">
        <f t="shared" si="5"/>
        <v/>
      </c>
      <c r="M45" s="28">
        <f t="shared" si="6"/>
        <v>0</v>
      </c>
      <c r="N45" s="30" t="b">
        <v>0</v>
      </c>
      <c r="O45" s="30" t="b">
        <v>0</v>
      </c>
      <c r="P45" s="30" t="b">
        <v>0</v>
      </c>
      <c r="Q45" s="30" t="b">
        <v>0</v>
      </c>
      <c r="R45" s="30" t="b">
        <v>0</v>
      </c>
      <c r="S45" s="30" t="b">
        <v>0</v>
      </c>
      <c r="T45" s="30" t="b">
        <v>0</v>
      </c>
      <c r="U45" s="30" t="b">
        <v>0</v>
      </c>
    </row>
    <row r="46">
      <c r="A46" s="33"/>
      <c r="B46" s="33"/>
      <c r="C46" s="33"/>
      <c r="D46" s="34"/>
      <c r="E46" s="34"/>
      <c r="F46" s="34"/>
      <c r="G46" s="24">
        <v>0.108</v>
      </c>
      <c r="H46" s="25">
        <f t="shared" si="1"/>
        <v>0</v>
      </c>
      <c r="I46" s="26">
        <f t="shared" si="2"/>
        <v>0</v>
      </c>
      <c r="J46" s="26">
        <f t="shared" si="3"/>
        <v>0</v>
      </c>
      <c r="K46" s="26">
        <f t="shared" si="4"/>
        <v>0</v>
      </c>
      <c r="L46" s="27" t="str">
        <f t="shared" si="5"/>
        <v/>
      </c>
      <c r="M46" s="28">
        <f t="shared" si="6"/>
        <v>0</v>
      </c>
      <c r="N46" s="30" t="b">
        <v>0</v>
      </c>
      <c r="O46" s="30" t="b">
        <v>0</v>
      </c>
      <c r="P46" s="30" t="b">
        <v>0</v>
      </c>
      <c r="Q46" s="30" t="b">
        <v>0</v>
      </c>
      <c r="R46" s="30" t="b">
        <v>0</v>
      </c>
      <c r="S46" s="30" t="b">
        <v>0</v>
      </c>
      <c r="T46" s="30" t="b">
        <v>0</v>
      </c>
      <c r="U46" s="30" t="b">
        <v>0</v>
      </c>
    </row>
    <row r="47">
      <c r="A47" s="33"/>
      <c r="B47" s="33"/>
      <c r="C47" s="33"/>
      <c r="D47" s="34"/>
      <c r="E47" s="34"/>
      <c r="F47" s="34"/>
      <c r="G47" s="24">
        <v>0.108</v>
      </c>
      <c r="H47" s="25">
        <f t="shared" si="1"/>
        <v>0</v>
      </c>
      <c r="I47" s="26">
        <f t="shared" si="2"/>
        <v>0</v>
      </c>
      <c r="J47" s="26">
        <f t="shared" si="3"/>
        <v>0</v>
      </c>
      <c r="K47" s="26">
        <f t="shared" si="4"/>
        <v>0</v>
      </c>
      <c r="L47" s="27" t="str">
        <f t="shared" si="5"/>
        <v/>
      </c>
      <c r="M47" s="28">
        <f t="shared" si="6"/>
        <v>0</v>
      </c>
      <c r="N47" s="30" t="b">
        <v>0</v>
      </c>
      <c r="O47" s="30" t="b">
        <v>0</v>
      </c>
      <c r="P47" s="30" t="b">
        <v>0</v>
      </c>
      <c r="Q47" s="30" t="b">
        <v>0</v>
      </c>
      <c r="R47" s="30" t="b">
        <v>0</v>
      </c>
      <c r="S47" s="30" t="b">
        <v>0</v>
      </c>
      <c r="T47" s="30" t="b">
        <v>0</v>
      </c>
      <c r="U47" s="30" t="b">
        <v>0</v>
      </c>
    </row>
    <row r="48">
      <c r="A48" s="33"/>
      <c r="B48" s="33"/>
      <c r="C48" s="33"/>
      <c r="D48" s="34"/>
      <c r="E48" s="34"/>
      <c r="F48" s="34"/>
      <c r="G48" s="24">
        <v>0.108</v>
      </c>
      <c r="H48" s="25">
        <f t="shared" si="1"/>
        <v>0</v>
      </c>
      <c r="I48" s="26">
        <f t="shared" si="2"/>
        <v>0</v>
      </c>
      <c r="J48" s="26">
        <f t="shared" si="3"/>
        <v>0</v>
      </c>
      <c r="K48" s="26">
        <f t="shared" si="4"/>
        <v>0</v>
      </c>
      <c r="L48" s="27" t="str">
        <f t="shared" si="5"/>
        <v/>
      </c>
      <c r="M48" s="28">
        <f t="shared" si="6"/>
        <v>0</v>
      </c>
      <c r="N48" s="30" t="b">
        <v>0</v>
      </c>
      <c r="O48" s="30" t="b">
        <v>0</v>
      </c>
      <c r="P48" s="30" t="b">
        <v>0</v>
      </c>
      <c r="Q48" s="30" t="b">
        <v>0</v>
      </c>
      <c r="R48" s="30" t="b">
        <v>0</v>
      </c>
      <c r="S48" s="30" t="b">
        <v>0</v>
      </c>
      <c r="T48" s="30" t="b">
        <v>0</v>
      </c>
      <c r="U48" s="30" t="b">
        <v>0</v>
      </c>
    </row>
    <row r="49">
      <c r="A49" s="33"/>
      <c r="B49" s="33"/>
      <c r="C49" s="33"/>
      <c r="D49" s="34"/>
      <c r="E49" s="34"/>
      <c r="F49" s="34"/>
      <c r="G49" s="24">
        <v>0.108</v>
      </c>
      <c r="H49" s="25">
        <f t="shared" si="1"/>
        <v>0</v>
      </c>
      <c r="I49" s="26">
        <f t="shared" si="2"/>
        <v>0</v>
      </c>
      <c r="J49" s="26">
        <f t="shared" si="3"/>
        <v>0</v>
      </c>
      <c r="K49" s="26">
        <f t="shared" si="4"/>
        <v>0</v>
      </c>
      <c r="L49" s="27" t="str">
        <f t="shared" si="5"/>
        <v/>
      </c>
      <c r="M49" s="28">
        <f t="shared" si="6"/>
        <v>0</v>
      </c>
      <c r="N49" s="30" t="b">
        <v>0</v>
      </c>
      <c r="O49" s="30" t="b">
        <v>0</v>
      </c>
      <c r="P49" s="30" t="b">
        <v>0</v>
      </c>
      <c r="Q49" s="30" t="b">
        <v>0</v>
      </c>
      <c r="R49" s="30" t="b">
        <v>0</v>
      </c>
      <c r="S49" s="30" t="b">
        <v>0</v>
      </c>
      <c r="T49" s="30" t="b">
        <v>0</v>
      </c>
      <c r="U49" s="30" t="b">
        <v>0</v>
      </c>
    </row>
    <row r="50">
      <c r="A50" s="33"/>
      <c r="B50" s="33"/>
      <c r="C50" s="33"/>
      <c r="D50" s="34"/>
      <c r="E50" s="34"/>
      <c r="F50" s="34"/>
      <c r="G50" s="24">
        <v>0.108</v>
      </c>
      <c r="H50" s="25">
        <f t="shared" si="1"/>
        <v>0</v>
      </c>
      <c r="I50" s="26">
        <f t="shared" si="2"/>
        <v>0</v>
      </c>
      <c r="J50" s="26">
        <f t="shared" si="3"/>
        <v>0</v>
      </c>
      <c r="K50" s="26">
        <f t="shared" si="4"/>
        <v>0</v>
      </c>
      <c r="L50" s="27" t="str">
        <f t="shared" si="5"/>
        <v/>
      </c>
      <c r="M50" s="28">
        <f t="shared" si="6"/>
        <v>0</v>
      </c>
      <c r="N50" s="30" t="b">
        <v>0</v>
      </c>
      <c r="O50" s="30" t="b">
        <v>0</v>
      </c>
      <c r="P50" s="30" t="b">
        <v>0</v>
      </c>
      <c r="Q50" s="30" t="b">
        <v>0</v>
      </c>
      <c r="R50" s="30" t="b">
        <v>0</v>
      </c>
      <c r="S50" s="30" t="b">
        <v>0</v>
      </c>
      <c r="T50" s="30" t="b">
        <v>0</v>
      </c>
      <c r="U50" s="30" t="b">
        <v>0</v>
      </c>
    </row>
    <row r="51">
      <c r="A51" s="33"/>
      <c r="B51" s="33"/>
      <c r="C51" s="33"/>
      <c r="D51" s="34"/>
      <c r="E51" s="34"/>
      <c r="F51" s="34"/>
      <c r="G51" s="24">
        <v>0.108</v>
      </c>
      <c r="H51" s="25">
        <f t="shared" si="1"/>
        <v>0</v>
      </c>
      <c r="I51" s="26">
        <f t="shared" si="2"/>
        <v>0</v>
      </c>
      <c r="J51" s="26">
        <f t="shared" si="3"/>
        <v>0</v>
      </c>
      <c r="K51" s="26">
        <f t="shared" si="4"/>
        <v>0</v>
      </c>
      <c r="L51" s="27" t="str">
        <f t="shared" si="5"/>
        <v/>
      </c>
      <c r="M51" s="28">
        <f t="shared" si="6"/>
        <v>0</v>
      </c>
      <c r="N51" s="30" t="b">
        <v>0</v>
      </c>
      <c r="O51" s="30" t="b">
        <v>0</v>
      </c>
      <c r="P51" s="30" t="b">
        <v>0</v>
      </c>
      <c r="Q51" s="30" t="b">
        <v>0</v>
      </c>
      <c r="R51" s="30" t="b">
        <v>0</v>
      </c>
      <c r="S51" s="30" t="b">
        <v>0</v>
      </c>
      <c r="T51" s="30" t="b">
        <v>0</v>
      </c>
      <c r="U51" s="30" t="b">
        <v>0</v>
      </c>
    </row>
    <row r="52">
      <c r="A52" s="33"/>
      <c r="B52" s="33"/>
      <c r="C52" s="33"/>
      <c r="D52" s="34"/>
      <c r="E52" s="34"/>
      <c r="F52" s="34"/>
      <c r="G52" s="24">
        <v>0.108</v>
      </c>
      <c r="H52" s="25">
        <f t="shared" si="1"/>
        <v>0</v>
      </c>
      <c r="I52" s="26">
        <f t="shared" si="2"/>
        <v>0</v>
      </c>
      <c r="J52" s="26">
        <f t="shared" si="3"/>
        <v>0</v>
      </c>
      <c r="K52" s="26">
        <f t="shared" si="4"/>
        <v>0</v>
      </c>
      <c r="L52" s="27" t="str">
        <f t="shared" si="5"/>
        <v/>
      </c>
      <c r="M52" s="28">
        <f t="shared" si="6"/>
        <v>0</v>
      </c>
      <c r="N52" s="30" t="b">
        <v>0</v>
      </c>
      <c r="O52" s="30" t="b">
        <v>0</v>
      </c>
      <c r="P52" s="30" t="b">
        <v>0</v>
      </c>
      <c r="Q52" s="30" t="b">
        <v>0</v>
      </c>
      <c r="R52" s="30" t="b">
        <v>0</v>
      </c>
      <c r="S52" s="30" t="b">
        <v>0</v>
      </c>
      <c r="T52" s="30" t="b">
        <v>0</v>
      </c>
      <c r="U52" s="30" t="b">
        <v>0</v>
      </c>
    </row>
    <row r="53">
      <c r="A53" s="33"/>
      <c r="B53" s="33"/>
      <c r="C53" s="33"/>
      <c r="D53" s="34"/>
      <c r="E53" s="34"/>
      <c r="F53" s="34"/>
      <c r="G53" s="24">
        <v>0.108</v>
      </c>
      <c r="H53" s="25">
        <f t="shared" si="1"/>
        <v>0</v>
      </c>
      <c r="I53" s="26">
        <f t="shared" si="2"/>
        <v>0</v>
      </c>
      <c r="J53" s="26">
        <f t="shared" si="3"/>
        <v>0</v>
      </c>
      <c r="K53" s="26">
        <f t="shared" si="4"/>
        <v>0</v>
      </c>
      <c r="L53" s="27" t="str">
        <f t="shared" si="5"/>
        <v/>
      </c>
      <c r="M53" s="28">
        <f t="shared" si="6"/>
        <v>0</v>
      </c>
      <c r="N53" s="30" t="b">
        <v>0</v>
      </c>
      <c r="O53" s="30" t="b">
        <v>0</v>
      </c>
      <c r="P53" s="30" t="b">
        <v>0</v>
      </c>
      <c r="Q53" s="30" t="b">
        <v>0</v>
      </c>
      <c r="R53" s="30" t="b">
        <v>0</v>
      </c>
      <c r="S53" s="30" t="b">
        <v>0</v>
      </c>
      <c r="T53" s="30" t="b">
        <v>0</v>
      </c>
      <c r="U53" s="30" t="b">
        <v>0</v>
      </c>
    </row>
    <row r="54">
      <c r="A54" s="33"/>
      <c r="B54" s="33"/>
      <c r="C54" s="33"/>
      <c r="D54" s="34"/>
      <c r="E54" s="34"/>
      <c r="F54" s="34"/>
      <c r="G54" s="24">
        <v>0.108</v>
      </c>
      <c r="H54" s="25">
        <f t="shared" si="1"/>
        <v>0</v>
      </c>
      <c r="I54" s="26">
        <f t="shared" si="2"/>
        <v>0</v>
      </c>
      <c r="J54" s="26">
        <f t="shared" si="3"/>
        <v>0</v>
      </c>
      <c r="K54" s="26">
        <f t="shared" si="4"/>
        <v>0</v>
      </c>
      <c r="L54" s="27" t="str">
        <f t="shared" si="5"/>
        <v/>
      </c>
      <c r="M54" s="28">
        <f t="shared" si="6"/>
        <v>0</v>
      </c>
      <c r="N54" s="30" t="b">
        <v>0</v>
      </c>
      <c r="O54" s="30" t="b">
        <v>0</v>
      </c>
      <c r="P54" s="30" t="b">
        <v>0</v>
      </c>
      <c r="Q54" s="30" t="b">
        <v>0</v>
      </c>
      <c r="R54" s="30" t="b">
        <v>0</v>
      </c>
      <c r="S54" s="30" t="b">
        <v>0</v>
      </c>
      <c r="T54" s="30" t="b">
        <v>0</v>
      </c>
      <c r="U54" s="30" t="b">
        <v>0</v>
      </c>
    </row>
    <row r="55">
      <c r="A55" s="33"/>
      <c r="B55" s="33"/>
      <c r="C55" s="33"/>
      <c r="D55" s="34"/>
      <c r="E55" s="34"/>
      <c r="F55" s="34"/>
      <c r="G55" s="24">
        <v>0.108</v>
      </c>
      <c r="H55" s="25">
        <f t="shared" si="1"/>
        <v>0</v>
      </c>
      <c r="I55" s="26">
        <f t="shared" si="2"/>
        <v>0</v>
      </c>
      <c r="J55" s="26">
        <f t="shared" si="3"/>
        <v>0</v>
      </c>
      <c r="K55" s="26">
        <f t="shared" si="4"/>
        <v>0</v>
      </c>
      <c r="L55" s="27" t="str">
        <f t="shared" si="5"/>
        <v/>
      </c>
      <c r="M55" s="28">
        <f t="shared" si="6"/>
        <v>0</v>
      </c>
      <c r="N55" s="30" t="b">
        <v>0</v>
      </c>
      <c r="O55" s="30" t="b">
        <v>0</v>
      </c>
      <c r="P55" s="30" t="b">
        <v>0</v>
      </c>
      <c r="Q55" s="30" t="b">
        <v>0</v>
      </c>
      <c r="R55" s="30" t="b">
        <v>0</v>
      </c>
      <c r="S55" s="30" t="b">
        <v>0</v>
      </c>
      <c r="T55" s="30" t="b">
        <v>0</v>
      </c>
      <c r="U55" s="30" t="b">
        <v>0</v>
      </c>
    </row>
    <row r="56">
      <c r="A56" s="33"/>
      <c r="B56" s="33"/>
      <c r="C56" s="33"/>
      <c r="D56" s="34"/>
      <c r="E56" s="34"/>
      <c r="F56" s="34"/>
      <c r="G56" s="24">
        <v>0.108</v>
      </c>
      <c r="H56" s="25">
        <f t="shared" si="1"/>
        <v>0</v>
      </c>
      <c r="I56" s="26">
        <f t="shared" si="2"/>
        <v>0</v>
      </c>
      <c r="J56" s="26">
        <f t="shared" si="3"/>
        <v>0</v>
      </c>
      <c r="K56" s="26">
        <f t="shared" si="4"/>
        <v>0</v>
      </c>
      <c r="L56" s="27" t="str">
        <f t="shared" si="5"/>
        <v/>
      </c>
      <c r="M56" s="28">
        <f t="shared" si="6"/>
        <v>0</v>
      </c>
      <c r="N56" s="30" t="b">
        <v>0</v>
      </c>
      <c r="O56" s="30" t="b">
        <v>0</v>
      </c>
      <c r="P56" s="30" t="b">
        <v>0</v>
      </c>
      <c r="Q56" s="30" t="b">
        <v>0</v>
      </c>
      <c r="R56" s="30" t="b">
        <v>0</v>
      </c>
      <c r="S56" s="30" t="b">
        <v>0</v>
      </c>
      <c r="T56" s="30" t="b">
        <v>0</v>
      </c>
      <c r="U56" s="30" t="b">
        <v>0</v>
      </c>
    </row>
    <row r="57">
      <c r="A57" s="33"/>
      <c r="B57" s="33"/>
      <c r="C57" s="33"/>
      <c r="D57" s="34"/>
      <c r="E57" s="34"/>
      <c r="F57" s="34"/>
      <c r="G57" s="24">
        <v>0.108</v>
      </c>
      <c r="H57" s="25">
        <f t="shared" si="1"/>
        <v>0</v>
      </c>
      <c r="I57" s="26">
        <f t="shared" si="2"/>
        <v>0</v>
      </c>
      <c r="J57" s="26">
        <f t="shared" si="3"/>
        <v>0</v>
      </c>
      <c r="K57" s="26">
        <f t="shared" si="4"/>
        <v>0</v>
      </c>
      <c r="L57" s="27" t="str">
        <f t="shared" si="5"/>
        <v/>
      </c>
      <c r="M57" s="28">
        <f t="shared" si="6"/>
        <v>0</v>
      </c>
      <c r="N57" s="30" t="b">
        <v>0</v>
      </c>
      <c r="O57" s="30" t="b">
        <v>0</v>
      </c>
      <c r="P57" s="30" t="b">
        <v>0</v>
      </c>
      <c r="Q57" s="30" t="b">
        <v>0</v>
      </c>
      <c r="R57" s="30" t="b">
        <v>0</v>
      </c>
      <c r="S57" s="30" t="b">
        <v>0</v>
      </c>
      <c r="T57" s="30" t="b">
        <v>0</v>
      </c>
      <c r="U57" s="30" t="b">
        <v>0</v>
      </c>
    </row>
    <row r="58">
      <c r="A58" s="33"/>
      <c r="B58" s="33"/>
      <c r="C58" s="33"/>
      <c r="D58" s="34"/>
      <c r="E58" s="34"/>
      <c r="F58" s="34"/>
      <c r="G58" s="24">
        <v>0.108</v>
      </c>
      <c r="H58" s="25">
        <f t="shared" si="1"/>
        <v>0</v>
      </c>
      <c r="I58" s="26">
        <f t="shared" si="2"/>
        <v>0</v>
      </c>
      <c r="J58" s="26">
        <f t="shared" si="3"/>
        <v>0</v>
      </c>
      <c r="K58" s="26">
        <f t="shared" si="4"/>
        <v>0</v>
      </c>
      <c r="L58" s="27" t="str">
        <f t="shared" si="5"/>
        <v/>
      </c>
      <c r="M58" s="28">
        <f t="shared" si="6"/>
        <v>0</v>
      </c>
      <c r="N58" s="30" t="b">
        <v>0</v>
      </c>
      <c r="O58" s="30" t="b">
        <v>0</v>
      </c>
      <c r="P58" s="30" t="b">
        <v>0</v>
      </c>
      <c r="Q58" s="30" t="b">
        <v>0</v>
      </c>
      <c r="R58" s="30" t="b">
        <v>0</v>
      </c>
      <c r="S58" s="30" t="b">
        <v>0</v>
      </c>
      <c r="T58" s="30" t="b">
        <v>0</v>
      </c>
      <c r="U58" s="30" t="b">
        <v>0</v>
      </c>
    </row>
    <row r="59">
      <c r="A59" s="33"/>
      <c r="B59" s="33"/>
      <c r="C59" s="33"/>
      <c r="D59" s="34"/>
      <c r="E59" s="34"/>
      <c r="F59" s="34"/>
      <c r="G59" s="24">
        <v>0.108</v>
      </c>
      <c r="H59" s="25">
        <f t="shared" si="1"/>
        <v>0</v>
      </c>
      <c r="I59" s="26">
        <f t="shared" si="2"/>
        <v>0</v>
      </c>
      <c r="J59" s="26">
        <f t="shared" si="3"/>
        <v>0</v>
      </c>
      <c r="K59" s="26">
        <f t="shared" si="4"/>
        <v>0</v>
      </c>
      <c r="L59" s="27" t="str">
        <f t="shared" si="5"/>
        <v/>
      </c>
      <c r="M59" s="28">
        <f t="shared" si="6"/>
        <v>0</v>
      </c>
      <c r="N59" s="30" t="b">
        <v>0</v>
      </c>
      <c r="O59" s="30" t="b">
        <v>0</v>
      </c>
      <c r="P59" s="30" t="b">
        <v>0</v>
      </c>
      <c r="Q59" s="30" t="b">
        <v>0</v>
      </c>
      <c r="R59" s="30" t="b">
        <v>0</v>
      </c>
      <c r="S59" s="30" t="b">
        <v>0</v>
      </c>
      <c r="T59" s="30" t="b">
        <v>0</v>
      </c>
      <c r="U59" s="30" t="b">
        <v>0</v>
      </c>
    </row>
    <row r="60">
      <c r="A60" s="33"/>
      <c r="B60" s="33"/>
      <c r="C60" s="33"/>
      <c r="D60" s="34"/>
      <c r="E60" s="34"/>
      <c r="F60" s="34"/>
      <c r="G60" s="24">
        <v>0.108</v>
      </c>
      <c r="H60" s="25">
        <f t="shared" si="1"/>
        <v>0</v>
      </c>
      <c r="I60" s="26">
        <f t="shared" si="2"/>
        <v>0</v>
      </c>
      <c r="J60" s="26">
        <f t="shared" si="3"/>
        <v>0</v>
      </c>
      <c r="K60" s="26">
        <f t="shared" si="4"/>
        <v>0</v>
      </c>
      <c r="L60" s="27" t="str">
        <f t="shared" si="5"/>
        <v/>
      </c>
      <c r="M60" s="28">
        <f t="shared" si="6"/>
        <v>0</v>
      </c>
      <c r="N60" s="30" t="b">
        <v>0</v>
      </c>
      <c r="O60" s="30" t="b">
        <v>0</v>
      </c>
      <c r="P60" s="30" t="b">
        <v>0</v>
      </c>
      <c r="Q60" s="30" t="b">
        <v>0</v>
      </c>
      <c r="R60" s="30" t="b">
        <v>0</v>
      </c>
      <c r="S60" s="30" t="b">
        <v>0</v>
      </c>
      <c r="T60" s="30" t="b">
        <v>0</v>
      </c>
      <c r="U60" s="30" t="b">
        <v>0</v>
      </c>
    </row>
    <row r="61">
      <c r="A61" s="33"/>
      <c r="B61" s="33"/>
      <c r="C61" s="33"/>
      <c r="D61" s="34"/>
      <c r="E61" s="34"/>
      <c r="F61" s="34"/>
      <c r="G61" s="24">
        <v>0.108</v>
      </c>
      <c r="H61" s="25">
        <f t="shared" si="1"/>
        <v>0</v>
      </c>
      <c r="I61" s="26">
        <f t="shared" si="2"/>
        <v>0</v>
      </c>
      <c r="J61" s="26">
        <f t="shared" si="3"/>
        <v>0</v>
      </c>
      <c r="K61" s="26">
        <f t="shared" si="4"/>
        <v>0</v>
      </c>
      <c r="L61" s="27" t="str">
        <f t="shared" si="5"/>
        <v/>
      </c>
      <c r="M61" s="28">
        <f t="shared" si="6"/>
        <v>0</v>
      </c>
      <c r="N61" s="30" t="b">
        <v>0</v>
      </c>
      <c r="O61" s="30" t="b">
        <v>0</v>
      </c>
      <c r="P61" s="30" t="b">
        <v>0</v>
      </c>
      <c r="Q61" s="30" t="b">
        <v>0</v>
      </c>
      <c r="R61" s="30" t="b">
        <v>0</v>
      </c>
      <c r="S61" s="30" t="b">
        <v>0</v>
      </c>
      <c r="T61" s="30" t="b">
        <v>0</v>
      </c>
      <c r="U61" s="30" t="b">
        <v>0</v>
      </c>
    </row>
    <row r="62">
      <c r="A62" s="33"/>
      <c r="B62" s="33"/>
      <c r="C62" s="33"/>
      <c r="D62" s="34"/>
      <c r="E62" s="34"/>
      <c r="F62" s="34"/>
      <c r="G62" s="24">
        <v>0.108</v>
      </c>
      <c r="H62" s="25">
        <f t="shared" si="1"/>
        <v>0</v>
      </c>
      <c r="I62" s="26">
        <f t="shared" si="2"/>
        <v>0</v>
      </c>
      <c r="J62" s="26">
        <f t="shared" si="3"/>
        <v>0</v>
      </c>
      <c r="K62" s="26">
        <f t="shared" si="4"/>
        <v>0</v>
      </c>
      <c r="L62" s="27" t="str">
        <f t="shared" si="5"/>
        <v/>
      </c>
      <c r="M62" s="28">
        <f t="shared" si="6"/>
        <v>0</v>
      </c>
      <c r="N62" s="30" t="b">
        <v>0</v>
      </c>
      <c r="O62" s="30" t="b">
        <v>0</v>
      </c>
      <c r="P62" s="30" t="b">
        <v>0</v>
      </c>
      <c r="Q62" s="30" t="b">
        <v>0</v>
      </c>
      <c r="R62" s="30" t="b">
        <v>0</v>
      </c>
      <c r="S62" s="30" t="b">
        <v>0</v>
      </c>
      <c r="T62" s="30" t="b">
        <v>0</v>
      </c>
      <c r="U62" s="30" t="b">
        <v>0</v>
      </c>
    </row>
    <row r="63">
      <c r="A63" s="33"/>
      <c r="B63" s="33"/>
      <c r="C63" s="33"/>
      <c r="D63" s="34"/>
      <c r="E63" s="34"/>
      <c r="F63" s="34"/>
      <c r="G63" s="24">
        <v>0.108</v>
      </c>
      <c r="H63" s="25">
        <f t="shared" si="1"/>
        <v>0</v>
      </c>
      <c r="I63" s="26">
        <f t="shared" si="2"/>
        <v>0</v>
      </c>
      <c r="J63" s="26">
        <f t="shared" si="3"/>
        <v>0</v>
      </c>
      <c r="K63" s="26">
        <f t="shared" si="4"/>
        <v>0</v>
      </c>
      <c r="L63" s="27" t="str">
        <f t="shared" si="5"/>
        <v/>
      </c>
      <c r="M63" s="28">
        <f t="shared" si="6"/>
        <v>0</v>
      </c>
      <c r="N63" s="30" t="b">
        <v>0</v>
      </c>
      <c r="O63" s="30" t="b">
        <v>0</v>
      </c>
      <c r="P63" s="30" t="b">
        <v>0</v>
      </c>
      <c r="Q63" s="30" t="b">
        <v>0</v>
      </c>
      <c r="R63" s="30" t="b">
        <v>0</v>
      </c>
      <c r="S63" s="30" t="b">
        <v>0</v>
      </c>
      <c r="T63" s="30" t="b">
        <v>0</v>
      </c>
      <c r="U63" s="30" t="b">
        <v>0</v>
      </c>
    </row>
    <row r="64">
      <c r="A64" s="33"/>
      <c r="B64" s="33"/>
      <c r="C64" s="33"/>
      <c r="D64" s="34"/>
      <c r="E64" s="34"/>
      <c r="F64" s="34"/>
      <c r="G64" s="24">
        <v>0.108</v>
      </c>
      <c r="H64" s="25">
        <f t="shared" si="1"/>
        <v>0</v>
      </c>
      <c r="I64" s="26">
        <f t="shared" si="2"/>
        <v>0</v>
      </c>
      <c r="J64" s="26">
        <f t="shared" si="3"/>
        <v>0</v>
      </c>
      <c r="K64" s="26">
        <f t="shared" si="4"/>
        <v>0</v>
      </c>
      <c r="L64" s="27" t="str">
        <f t="shared" si="5"/>
        <v/>
      </c>
      <c r="M64" s="28">
        <f t="shared" si="6"/>
        <v>0</v>
      </c>
      <c r="N64" s="30" t="b">
        <v>0</v>
      </c>
      <c r="O64" s="30" t="b">
        <v>0</v>
      </c>
      <c r="P64" s="30" t="b">
        <v>0</v>
      </c>
      <c r="Q64" s="30" t="b">
        <v>0</v>
      </c>
      <c r="R64" s="30" t="b">
        <v>0</v>
      </c>
      <c r="S64" s="30" t="b">
        <v>0</v>
      </c>
      <c r="T64" s="30" t="b">
        <v>0</v>
      </c>
      <c r="U64" s="30" t="b">
        <v>0</v>
      </c>
    </row>
    <row r="65">
      <c r="A65" s="33"/>
      <c r="B65" s="33"/>
      <c r="C65" s="33"/>
      <c r="D65" s="34"/>
      <c r="E65" s="34"/>
      <c r="F65" s="34"/>
      <c r="G65" s="24">
        <v>0.108</v>
      </c>
      <c r="H65" s="25">
        <f t="shared" si="1"/>
        <v>0</v>
      </c>
      <c r="I65" s="26">
        <f t="shared" si="2"/>
        <v>0</v>
      </c>
      <c r="J65" s="26">
        <f t="shared" si="3"/>
        <v>0</v>
      </c>
      <c r="K65" s="26">
        <f t="shared" si="4"/>
        <v>0</v>
      </c>
      <c r="L65" s="27" t="str">
        <f t="shared" si="5"/>
        <v/>
      </c>
      <c r="M65" s="28">
        <f t="shared" si="6"/>
        <v>0</v>
      </c>
      <c r="N65" s="30" t="b">
        <v>0</v>
      </c>
      <c r="O65" s="30" t="b">
        <v>0</v>
      </c>
      <c r="P65" s="30" t="b">
        <v>0</v>
      </c>
      <c r="Q65" s="30" t="b">
        <v>0</v>
      </c>
      <c r="R65" s="30" t="b">
        <v>0</v>
      </c>
      <c r="S65" s="30" t="b">
        <v>0</v>
      </c>
      <c r="T65" s="30" t="b">
        <v>0</v>
      </c>
      <c r="U65" s="30" t="b">
        <v>0</v>
      </c>
    </row>
    <row r="66">
      <c r="A66" s="33"/>
      <c r="B66" s="33"/>
      <c r="C66" s="33"/>
      <c r="D66" s="34"/>
      <c r="E66" s="34"/>
      <c r="F66" s="34"/>
      <c r="G66" s="24">
        <v>0.108</v>
      </c>
      <c r="H66" s="25">
        <f t="shared" si="1"/>
        <v>0</v>
      </c>
      <c r="I66" s="26">
        <f t="shared" si="2"/>
        <v>0</v>
      </c>
      <c r="J66" s="26">
        <f t="shared" si="3"/>
        <v>0</v>
      </c>
      <c r="K66" s="26">
        <f t="shared" si="4"/>
        <v>0</v>
      </c>
      <c r="L66" s="27" t="str">
        <f t="shared" si="5"/>
        <v/>
      </c>
      <c r="M66" s="28">
        <f t="shared" si="6"/>
        <v>0</v>
      </c>
      <c r="N66" s="30" t="b">
        <v>0</v>
      </c>
      <c r="O66" s="30" t="b">
        <v>0</v>
      </c>
      <c r="P66" s="30" t="b">
        <v>0</v>
      </c>
      <c r="Q66" s="30" t="b">
        <v>0</v>
      </c>
      <c r="R66" s="30" t="b">
        <v>0</v>
      </c>
      <c r="S66" s="30" t="b">
        <v>0</v>
      </c>
      <c r="T66" s="30" t="b">
        <v>0</v>
      </c>
      <c r="U66" s="30" t="b">
        <v>0</v>
      </c>
    </row>
    <row r="67">
      <c r="A67" s="33"/>
      <c r="B67" s="33"/>
      <c r="C67" s="33"/>
      <c r="D67" s="34"/>
      <c r="E67" s="34"/>
      <c r="F67" s="34"/>
      <c r="G67" s="24">
        <v>0.108</v>
      </c>
      <c r="H67" s="25">
        <f t="shared" si="1"/>
        <v>0</v>
      </c>
      <c r="I67" s="26">
        <f t="shared" si="2"/>
        <v>0</v>
      </c>
      <c r="J67" s="26">
        <f t="shared" si="3"/>
        <v>0</v>
      </c>
      <c r="K67" s="26">
        <f t="shared" si="4"/>
        <v>0</v>
      </c>
      <c r="L67" s="27" t="str">
        <f t="shared" si="5"/>
        <v/>
      </c>
      <c r="M67" s="28">
        <f t="shared" si="6"/>
        <v>0</v>
      </c>
      <c r="N67" s="30" t="b">
        <v>0</v>
      </c>
      <c r="O67" s="30" t="b">
        <v>0</v>
      </c>
      <c r="P67" s="30" t="b">
        <v>0</v>
      </c>
      <c r="Q67" s="30" t="b">
        <v>0</v>
      </c>
      <c r="R67" s="30" t="b">
        <v>0</v>
      </c>
      <c r="S67" s="30" t="b">
        <v>0</v>
      </c>
      <c r="T67" s="30" t="b">
        <v>0</v>
      </c>
      <c r="U67" s="30" t="b">
        <v>0</v>
      </c>
    </row>
    <row r="68">
      <c r="A68" s="33"/>
      <c r="B68" s="33"/>
      <c r="C68" s="33"/>
      <c r="D68" s="34"/>
      <c r="E68" s="34"/>
      <c r="F68" s="34"/>
      <c r="G68" s="24">
        <v>0.108</v>
      </c>
      <c r="H68" s="25">
        <f t="shared" si="1"/>
        <v>0</v>
      </c>
      <c r="I68" s="26">
        <f t="shared" si="2"/>
        <v>0</v>
      </c>
      <c r="J68" s="26">
        <f t="shared" si="3"/>
        <v>0</v>
      </c>
      <c r="K68" s="26">
        <f t="shared" si="4"/>
        <v>0</v>
      </c>
      <c r="L68" s="27" t="str">
        <f t="shared" si="5"/>
        <v/>
      </c>
      <c r="M68" s="28">
        <f t="shared" si="6"/>
        <v>0</v>
      </c>
      <c r="N68" s="30" t="b">
        <v>0</v>
      </c>
      <c r="O68" s="30" t="b">
        <v>0</v>
      </c>
      <c r="P68" s="30" t="b">
        <v>0</v>
      </c>
      <c r="Q68" s="30" t="b">
        <v>0</v>
      </c>
      <c r="R68" s="30" t="b">
        <v>0</v>
      </c>
      <c r="S68" s="30" t="b">
        <v>0</v>
      </c>
      <c r="T68" s="30" t="b">
        <v>0</v>
      </c>
      <c r="U68" s="30" t="b">
        <v>0</v>
      </c>
    </row>
    <row r="69">
      <c r="A69" s="33"/>
      <c r="B69" s="33"/>
      <c r="C69" s="33"/>
      <c r="D69" s="34"/>
      <c r="E69" s="34"/>
      <c r="F69" s="34"/>
      <c r="G69" s="24">
        <v>0.108</v>
      </c>
      <c r="H69" s="25">
        <f t="shared" si="1"/>
        <v>0</v>
      </c>
      <c r="I69" s="26">
        <f t="shared" si="2"/>
        <v>0</v>
      </c>
      <c r="J69" s="26">
        <f t="shared" si="3"/>
        <v>0</v>
      </c>
      <c r="K69" s="26">
        <f t="shared" si="4"/>
        <v>0</v>
      </c>
      <c r="L69" s="27" t="str">
        <f t="shared" si="5"/>
        <v/>
      </c>
      <c r="M69" s="28">
        <f t="shared" si="6"/>
        <v>0</v>
      </c>
      <c r="N69" s="30" t="b">
        <v>0</v>
      </c>
      <c r="O69" s="30" t="b">
        <v>0</v>
      </c>
      <c r="P69" s="30" t="b">
        <v>0</v>
      </c>
      <c r="Q69" s="30" t="b">
        <v>0</v>
      </c>
      <c r="R69" s="30" t="b">
        <v>0</v>
      </c>
      <c r="S69" s="30" t="b">
        <v>0</v>
      </c>
      <c r="T69" s="30" t="b">
        <v>0</v>
      </c>
      <c r="U69" s="30" t="b">
        <v>0</v>
      </c>
    </row>
    <row r="70">
      <c r="A70" s="33"/>
      <c r="B70" s="33"/>
      <c r="C70" s="33"/>
      <c r="D70" s="34"/>
      <c r="E70" s="34"/>
      <c r="F70" s="34"/>
      <c r="G70" s="24">
        <v>0.108</v>
      </c>
      <c r="H70" s="25">
        <f t="shared" si="1"/>
        <v>0</v>
      </c>
      <c r="I70" s="26">
        <f t="shared" si="2"/>
        <v>0</v>
      </c>
      <c r="J70" s="26">
        <f t="shared" si="3"/>
        <v>0</v>
      </c>
      <c r="K70" s="26">
        <f t="shared" si="4"/>
        <v>0</v>
      </c>
      <c r="L70" s="27" t="str">
        <f t="shared" si="5"/>
        <v/>
      </c>
      <c r="M70" s="28">
        <f t="shared" si="6"/>
        <v>0</v>
      </c>
      <c r="N70" s="30" t="b">
        <v>0</v>
      </c>
      <c r="O70" s="30" t="b">
        <v>0</v>
      </c>
      <c r="P70" s="30" t="b">
        <v>0</v>
      </c>
      <c r="Q70" s="30" t="b">
        <v>0</v>
      </c>
      <c r="R70" s="30" t="b">
        <v>0</v>
      </c>
      <c r="S70" s="30" t="b">
        <v>0</v>
      </c>
      <c r="T70" s="30" t="b">
        <v>0</v>
      </c>
      <c r="U70" s="30" t="b">
        <v>0</v>
      </c>
    </row>
    <row r="71">
      <c r="A71" s="33"/>
      <c r="B71" s="33"/>
      <c r="C71" s="33"/>
      <c r="D71" s="34"/>
      <c r="E71" s="34"/>
      <c r="F71" s="34"/>
      <c r="G71" s="24">
        <v>0.108</v>
      </c>
      <c r="H71" s="25">
        <f t="shared" si="1"/>
        <v>0</v>
      </c>
      <c r="I71" s="26">
        <f t="shared" si="2"/>
        <v>0</v>
      </c>
      <c r="J71" s="26">
        <f t="shared" si="3"/>
        <v>0</v>
      </c>
      <c r="K71" s="26">
        <f t="shared" si="4"/>
        <v>0</v>
      </c>
      <c r="L71" s="27" t="str">
        <f t="shared" si="5"/>
        <v/>
      </c>
      <c r="M71" s="28">
        <f t="shared" si="6"/>
        <v>0</v>
      </c>
      <c r="N71" s="30" t="b">
        <v>0</v>
      </c>
      <c r="O71" s="30" t="b">
        <v>0</v>
      </c>
      <c r="P71" s="30" t="b">
        <v>0</v>
      </c>
      <c r="Q71" s="30" t="b">
        <v>0</v>
      </c>
      <c r="R71" s="30" t="b">
        <v>0</v>
      </c>
      <c r="S71" s="30" t="b">
        <v>0</v>
      </c>
      <c r="T71" s="30" t="b">
        <v>0</v>
      </c>
      <c r="U71" s="30" t="b">
        <v>0</v>
      </c>
    </row>
    <row r="72">
      <c r="A72" s="33"/>
      <c r="B72" s="33"/>
      <c r="C72" s="33"/>
      <c r="D72" s="34"/>
      <c r="E72" s="34"/>
      <c r="F72" s="34"/>
      <c r="G72" s="24">
        <v>0.108</v>
      </c>
      <c r="H72" s="25">
        <f t="shared" si="1"/>
        <v>0</v>
      </c>
      <c r="I72" s="26">
        <f t="shared" si="2"/>
        <v>0</v>
      </c>
      <c r="J72" s="26">
        <f t="shared" si="3"/>
        <v>0</v>
      </c>
      <c r="K72" s="26">
        <f t="shared" si="4"/>
        <v>0</v>
      </c>
      <c r="L72" s="27" t="str">
        <f t="shared" si="5"/>
        <v/>
      </c>
      <c r="M72" s="28">
        <f t="shared" si="6"/>
        <v>0</v>
      </c>
      <c r="N72" s="30" t="b">
        <v>0</v>
      </c>
      <c r="O72" s="30" t="b">
        <v>0</v>
      </c>
      <c r="P72" s="30" t="b">
        <v>0</v>
      </c>
      <c r="Q72" s="30" t="b">
        <v>0</v>
      </c>
      <c r="R72" s="30" t="b">
        <v>0</v>
      </c>
      <c r="S72" s="30" t="b">
        <v>0</v>
      </c>
      <c r="T72" s="30" t="b">
        <v>0</v>
      </c>
      <c r="U72" s="30" t="b">
        <v>0</v>
      </c>
    </row>
    <row r="73">
      <c r="A73" s="33"/>
      <c r="B73" s="33"/>
      <c r="C73" s="33"/>
      <c r="D73" s="34"/>
      <c r="E73" s="34"/>
      <c r="F73" s="34"/>
      <c r="G73" s="24">
        <v>0.108</v>
      </c>
      <c r="H73" s="25">
        <f t="shared" si="1"/>
        <v>0</v>
      </c>
      <c r="I73" s="26">
        <f t="shared" si="2"/>
        <v>0</v>
      </c>
      <c r="J73" s="26">
        <f t="shared" si="3"/>
        <v>0</v>
      </c>
      <c r="K73" s="26">
        <f t="shared" si="4"/>
        <v>0</v>
      </c>
      <c r="L73" s="27" t="str">
        <f t="shared" si="5"/>
        <v/>
      </c>
      <c r="M73" s="28">
        <f t="shared" si="6"/>
        <v>0</v>
      </c>
      <c r="N73" s="30" t="b">
        <v>0</v>
      </c>
      <c r="O73" s="30" t="b">
        <v>0</v>
      </c>
      <c r="P73" s="30" t="b">
        <v>0</v>
      </c>
      <c r="Q73" s="30" t="b">
        <v>0</v>
      </c>
      <c r="R73" s="30" t="b">
        <v>0</v>
      </c>
      <c r="S73" s="30" t="b">
        <v>0</v>
      </c>
      <c r="T73" s="30" t="b">
        <v>0</v>
      </c>
      <c r="U73" s="30" t="b">
        <v>0</v>
      </c>
    </row>
    <row r="74">
      <c r="A74" s="33"/>
      <c r="B74" s="33"/>
      <c r="C74" s="33"/>
      <c r="D74" s="34"/>
      <c r="E74" s="34"/>
      <c r="F74" s="34"/>
      <c r="G74" s="24">
        <v>0.108</v>
      </c>
      <c r="H74" s="25">
        <f t="shared" si="1"/>
        <v>0</v>
      </c>
      <c r="I74" s="26">
        <f t="shared" si="2"/>
        <v>0</v>
      </c>
      <c r="J74" s="26">
        <f t="shared" si="3"/>
        <v>0</v>
      </c>
      <c r="K74" s="26">
        <f t="shared" si="4"/>
        <v>0</v>
      </c>
      <c r="L74" s="27" t="str">
        <f t="shared" si="5"/>
        <v/>
      </c>
      <c r="M74" s="28">
        <f t="shared" si="6"/>
        <v>0</v>
      </c>
      <c r="N74" s="30" t="b">
        <v>0</v>
      </c>
      <c r="O74" s="30" t="b">
        <v>0</v>
      </c>
      <c r="P74" s="30" t="b">
        <v>0</v>
      </c>
      <c r="Q74" s="30" t="b">
        <v>0</v>
      </c>
      <c r="R74" s="30" t="b">
        <v>0</v>
      </c>
      <c r="S74" s="30" t="b">
        <v>0</v>
      </c>
      <c r="T74" s="30" t="b">
        <v>0</v>
      </c>
      <c r="U74" s="30" t="b">
        <v>0</v>
      </c>
    </row>
    <row r="75">
      <c r="A75" s="33"/>
      <c r="B75" s="33"/>
      <c r="C75" s="33"/>
      <c r="D75" s="34"/>
      <c r="E75" s="34"/>
      <c r="F75" s="34"/>
      <c r="G75" s="24">
        <v>0.108</v>
      </c>
      <c r="H75" s="25">
        <f t="shared" si="1"/>
        <v>0</v>
      </c>
      <c r="I75" s="26">
        <f t="shared" si="2"/>
        <v>0</v>
      </c>
      <c r="J75" s="26">
        <f t="shared" si="3"/>
        <v>0</v>
      </c>
      <c r="K75" s="26">
        <f t="shared" si="4"/>
        <v>0</v>
      </c>
      <c r="L75" s="27" t="str">
        <f t="shared" si="5"/>
        <v/>
      </c>
      <c r="M75" s="28">
        <f t="shared" si="6"/>
        <v>0</v>
      </c>
      <c r="N75" s="30" t="b">
        <v>0</v>
      </c>
      <c r="O75" s="30" t="b">
        <v>0</v>
      </c>
      <c r="P75" s="30" t="b">
        <v>0</v>
      </c>
      <c r="Q75" s="30" t="b">
        <v>0</v>
      </c>
      <c r="R75" s="30" t="b">
        <v>0</v>
      </c>
      <c r="S75" s="30" t="b">
        <v>0</v>
      </c>
      <c r="T75" s="30" t="b">
        <v>0</v>
      </c>
      <c r="U75" s="30" t="b">
        <v>0</v>
      </c>
    </row>
    <row r="76">
      <c r="A76" s="33"/>
      <c r="B76" s="33"/>
      <c r="C76" s="33"/>
      <c r="D76" s="34"/>
      <c r="E76" s="34"/>
      <c r="F76" s="34"/>
      <c r="G76" s="24">
        <v>0.108</v>
      </c>
      <c r="H76" s="25">
        <f t="shared" si="1"/>
        <v>0</v>
      </c>
      <c r="I76" s="26">
        <f t="shared" si="2"/>
        <v>0</v>
      </c>
      <c r="J76" s="26">
        <f t="shared" si="3"/>
        <v>0</v>
      </c>
      <c r="K76" s="26">
        <f t="shared" si="4"/>
        <v>0</v>
      </c>
      <c r="L76" s="27" t="str">
        <f t="shared" si="5"/>
        <v/>
      </c>
      <c r="M76" s="28">
        <f t="shared" si="6"/>
        <v>0</v>
      </c>
      <c r="N76" s="30" t="b">
        <v>0</v>
      </c>
      <c r="O76" s="30" t="b">
        <v>0</v>
      </c>
      <c r="P76" s="30" t="b">
        <v>0</v>
      </c>
      <c r="Q76" s="30" t="b">
        <v>0</v>
      </c>
      <c r="R76" s="30" t="b">
        <v>0</v>
      </c>
      <c r="S76" s="30" t="b">
        <v>0</v>
      </c>
      <c r="T76" s="30" t="b">
        <v>0</v>
      </c>
      <c r="U76" s="30" t="b">
        <v>0</v>
      </c>
    </row>
    <row r="77">
      <c r="A77" s="33"/>
      <c r="B77" s="33"/>
      <c r="C77" s="33"/>
      <c r="D77" s="34"/>
      <c r="E77" s="34"/>
      <c r="F77" s="34"/>
      <c r="G77" s="24">
        <v>0.108</v>
      </c>
      <c r="H77" s="25">
        <f t="shared" si="1"/>
        <v>0</v>
      </c>
      <c r="I77" s="26">
        <f t="shared" si="2"/>
        <v>0</v>
      </c>
      <c r="J77" s="26">
        <f t="shared" si="3"/>
        <v>0</v>
      </c>
      <c r="K77" s="26">
        <f t="shared" si="4"/>
        <v>0</v>
      </c>
      <c r="L77" s="27" t="str">
        <f t="shared" si="5"/>
        <v/>
      </c>
      <c r="M77" s="28">
        <f t="shared" si="6"/>
        <v>0</v>
      </c>
      <c r="N77" s="30" t="b">
        <v>0</v>
      </c>
      <c r="O77" s="30" t="b">
        <v>0</v>
      </c>
      <c r="P77" s="30" t="b">
        <v>0</v>
      </c>
      <c r="Q77" s="30" t="b">
        <v>0</v>
      </c>
      <c r="R77" s="30" t="b">
        <v>0</v>
      </c>
      <c r="S77" s="30" t="b">
        <v>0</v>
      </c>
      <c r="T77" s="30" t="b">
        <v>0</v>
      </c>
      <c r="U77" s="30" t="b">
        <v>0</v>
      </c>
    </row>
    <row r="78">
      <c r="A78" s="33"/>
      <c r="B78" s="33"/>
      <c r="C78" s="33"/>
      <c r="D78" s="34"/>
      <c r="E78" s="34"/>
      <c r="F78" s="34"/>
      <c r="G78" s="24">
        <v>0.108</v>
      </c>
      <c r="H78" s="25">
        <f t="shared" si="1"/>
        <v>0</v>
      </c>
      <c r="I78" s="26">
        <f t="shared" si="2"/>
        <v>0</v>
      </c>
      <c r="J78" s="26">
        <f t="shared" si="3"/>
        <v>0</v>
      </c>
      <c r="K78" s="26">
        <f t="shared" si="4"/>
        <v>0</v>
      </c>
      <c r="L78" s="27" t="str">
        <f t="shared" si="5"/>
        <v/>
      </c>
      <c r="M78" s="28">
        <f t="shared" si="6"/>
        <v>0</v>
      </c>
      <c r="N78" s="30" t="b">
        <v>0</v>
      </c>
      <c r="O78" s="30" t="b">
        <v>0</v>
      </c>
      <c r="P78" s="30" t="b">
        <v>0</v>
      </c>
      <c r="Q78" s="30" t="b">
        <v>0</v>
      </c>
      <c r="R78" s="30" t="b">
        <v>0</v>
      </c>
      <c r="S78" s="30" t="b">
        <v>0</v>
      </c>
      <c r="T78" s="30" t="b">
        <v>0</v>
      </c>
      <c r="U78" s="30" t="b">
        <v>0</v>
      </c>
    </row>
    <row r="79">
      <c r="A79" s="33"/>
      <c r="B79" s="33"/>
      <c r="C79" s="33"/>
      <c r="D79" s="34"/>
      <c r="E79" s="34"/>
      <c r="F79" s="34"/>
      <c r="G79" s="24">
        <v>0.108</v>
      </c>
      <c r="H79" s="25">
        <f t="shared" si="1"/>
        <v>0</v>
      </c>
      <c r="I79" s="26">
        <f t="shared" si="2"/>
        <v>0</v>
      </c>
      <c r="J79" s="26">
        <f t="shared" si="3"/>
        <v>0</v>
      </c>
      <c r="K79" s="26">
        <f t="shared" si="4"/>
        <v>0</v>
      </c>
      <c r="L79" s="27" t="str">
        <f t="shared" si="5"/>
        <v/>
      </c>
      <c r="M79" s="28">
        <f t="shared" si="6"/>
        <v>0</v>
      </c>
      <c r="N79" s="30" t="b">
        <v>0</v>
      </c>
      <c r="O79" s="30" t="b">
        <v>0</v>
      </c>
      <c r="P79" s="30" t="b">
        <v>0</v>
      </c>
      <c r="Q79" s="30" t="b">
        <v>0</v>
      </c>
      <c r="R79" s="30" t="b">
        <v>0</v>
      </c>
      <c r="S79" s="30" t="b">
        <v>0</v>
      </c>
      <c r="T79" s="30" t="b">
        <v>0</v>
      </c>
      <c r="U79" s="30" t="b">
        <v>0</v>
      </c>
    </row>
    <row r="80">
      <c r="A80" s="33"/>
      <c r="B80" s="33"/>
      <c r="C80" s="33"/>
      <c r="D80" s="34"/>
      <c r="E80" s="34"/>
      <c r="F80" s="34"/>
      <c r="G80" s="24">
        <v>0.108</v>
      </c>
      <c r="H80" s="25">
        <f t="shared" si="1"/>
        <v>0</v>
      </c>
      <c r="I80" s="26">
        <f t="shared" si="2"/>
        <v>0</v>
      </c>
      <c r="J80" s="26">
        <f t="shared" si="3"/>
        <v>0</v>
      </c>
      <c r="K80" s="26">
        <f t="shared" si="4"/>
        <v>0</v>
      </c>
      <c r="L80" s="27" t="str">
        <f t="shared" si="5"/>
        <v/>
      </c>
      <c r="M80" s="28">
        <f t="shared" si="6"/>
        <v>0</v>
      </c>
      <c r="N80" s="30" t="b">
        <v>0</v>
      </c>
      <c r="O80" s="30" t="b">
        <v>0</v>
      </c>
      <c r="P80" s="30" t="b">
        <v>0</v>
      </c>
      <c r="Q80" s="30" t="b">
        <v>0</v>
      </c>
      <c r="R80" s="30" t="b">
        <v>0</v>
      </c>
      <c r="S80" s="30" t="b">
        <v>0</v>
      </c>
      <c r="T80" s="30" t="b">
        <v>0</v>
      </c>
      <c r="U80" s="30" t="b">
        <v>0</v>
      </c>
    </row>
    <row r="81">
      <c r="A81" s="33"/>
      <c r="B81" s="33"/>
      <c r="C81" s="33"/>
      <c r="D81" s="34"/>
      <c r="E81" s="34"/>
      <c r="F81" s="34"/>
      <c r="G81" s="24">
        <v>0.108</v>
      </c>
      <c r="H81" s="25">
        <f t="shared" si="1"/>
        <v>0</v>
      </c>
      <c r="I81" s="26">
        <f t="shared" si="2"/>
        <v>0</v>
      </c>
      <c r="J81" s="26">
        <f t="shared" si="3"/>
        <v>0</v>
      </c>
      <c r="K81" s="26">
        <f t="shared" si="4"/>
        <v>0</v>
      </c>
      <c r="L81" s="27" t="str">
        <f t="shared" si="5"/>
        <v/>
      </c>
      <c r="M81" s="28">
        <f t="shared" si="6"/>
        <v>0</v>
      </c>
      <c r="N81" s="30" t="b">
        <v>0</v>
      </c>
      <c r="O81" s="30" t="b">
        <v>0</v>
      </c>
      <c r="P81" s="30" t="b">
        <v>0</v>
      </c>
      <c r="Q81" s="30" t="b">
        <v>0</v>
      </c>
      <c r="R81" s="30" t="b">
        <v>0</v>
      </c>
      <c r="S81" s="30" t="b">
        <v>0</v>
      </c>
      <c r="T81" s="30" t="b">
        <v>0</v>
      </c>
      <c r="U81" s="30" t="b">
        <v>0</v>
      </c>
    </row>
    <row r="82">
      <c r="A82" s="33"/>
      <c r="B82" s="33"/>
      <c r="C82" s="33"/>
      <c r="D82" s="34"/>
      <c r="E82" s="34"/>
      <c r="F82" s="34"/>
      <c r="G82" s="24">
        <v>0.108</v>
      </c>
      <c r="H82" s="25">
        <f t="shared" si="1"/>
        <v>0</v>
      </c>
      <c r="I82" s="26">
        <f t="shared" si="2"/>
        <v>0</v>
      </c>
      <c r="J82" s="26">
        <f t="shared" si="3"/>
        <v>0</v>
      </c>
      <c r="K82" s="26">
        <f t="shared" si="4"/>
        <v>0</v>
      </c>
      <c r="L82" s="27" t="str">
        <f t="shared" si="5"/>
        <v/>
      </c>
      <c r="M82" s="28">
        <f t="shared" si="6"/>
        <v>0</v>
      </c>
      <c r="N82" s="30" t="b">
        <v>0</v>
      </c>
      <c r="O82" s="30" t="b">
        <v>0</v>
      </c>
      <c r="P82" s="30" t="b">
        <v>0</v>
      </c>
      <c r="Q82" s="30" t="b">
        <v>0</v>
      </c>
      <c r="R82" s="30" t="b">
        <v>0</v>
      </c>
      <c r="S82" s="30" t="b">
        <v>0</v>
      </c>
      <c r="T82" s="30" t="b">
        <v>0</v>
      </c>
      <c r="U82" s="30" t="b">
        <v>0</v>
      </c>
    </row>
    <row r="83">
      <c r="A83" s="33"/>
      <c r="B83" s="33"/>
      <c r="C83" s="33"/>
      <c r="D83" s="34"/>
      <c r="E83" s="34"/>
      <c r="F83" s="34"/>
      <c r="G83" s="24">
        <v>0.108</v>
      </c>
      <c r="H83" s="25">
        <f t="shared" si="1"/>
        <v>0</v>
      </c>
      <c r="I83" s="26">
        <f t="shared" si="2"/>
        <v>0</v>
      </c>
      <c r="J83" s="26">
        <f t="shared" si="3"/>
        <v>0</v>
      </c>
      <c r="K83" s="26">
        <f t="shared" si="4"/>
        <v>0</v>
      </c>
      <c r="L83" s="27" t="str">
        <f t="shared" si="5"/>
        <v/>
      </c>
      <c r="M83" s="28">
        <f t="shared" si="6"/>
        <v>0</v>
      </c>
      <c r="N83" s="30" t="b">
        <v>0</v>
      </c>
      <c r="O83" s="30" t="b">
        <v>0</v>
      </c>
      <c r="P83" s="30" t="b">
        <v>0</v>
      </c>
      <c r="Q83" s="30" t="b">
        <v>0</v>
      </c>
      <c r="R83" s="30" t="b">
        <v>0</v>
      </c>
      <c r="S83" s="30" t="b">
        <v>0</v>
      </c>
      <c r="T83" s="30" t="b">
        <v>0</v>
      </c>
      <c r="U83" s="30" t="b">
        <v>0</v>
      </c>
    </row>
    <row r="84">
      <c r="A84" s="33"/>
      <c r="B84" s="33"/>
      <c r="C84" s="33"/>
      <c r="D84" s="34"/>
      <c r="E84" s="34"/>
      <c r="F84" s="34"/>
      <c r="G84" s="24">
        <v>0.108</v>
      </c>
      <c r="H84" s="25">
        <f t="shared" si="1"/>
        <v>0</v>
      </c>
      <c r="I84" s="26">
        <f t="shared" si="2"/>
        <v>0</v>
      </c>
      <c r="J84" s="26">
        <f t="shared" si="3"/>
        <v>0</v>
      </c>
      <c r="K84" s="26">
        <f t="shared" si="4"/>
        <v>0</v>
      </c>
      <c r="L84" s="27" t="str">
        <f t="shared" si="5"/>
        <v/>
      </c>
      <c r="M84" s="28">
        <f t="shared" si="6"/>
        <v>0</v>
      </c>
      <c r="N84" s="30" t="b">
        <v>0</v>
      </c>
      <c r="O84" s="30" t="b">
        <v>0</v>
      </c>
      <c r="P84" s="30" t="b">
        <v>0</v>
      </c>
      <c r="Q84" s="30" t="b">
        <v>0</v>
      </c>
      <c r="R84" s="30" t="b">
        <v>0</v>
      </c>
      <c r="S84" s="30" t="b">
        <v>0</v>
      </c>
      <c r="T84" s="30" t="b">
        <v>0</v>
      </c>
      <c r="U84" s="30" t="b">
        <v>0</v>
      </c>
    </row>
    <row r="85">
      <c r="A85" s="33"/>
      <c r="B85" s="33"/>
      <c r="C85" s="33"/>
      <c r="D85" s="34"/>
      <c r="E85" s="34"/>
      <c r="F85" s="34"/>
      <c r="G85" s="24">
        <v>0.108</v>
      </c>
      <c r="H85" s="25">
        <f t="shared" si="1"/>
        <v>0</v>
      </c>
      <c r="I85" s="26">
        <f t="shared" si="2"/>
        <v>0</v>
      </c>
      <c r="J85" s="26">
        <f t="shared" si="3"/>
        <v>0</v>
      </c>
      <c r="K85" s="26">
        <f t="shared" si="4"/>
        <v>0</v>
      </c>
      <c r="L85" s="27" t="str">
        <f t="shared" si="5"/>
        <v/>
      </c>
      <c r="M85" s="28">
        <f t="shared" si="6"/>
        <v>0</v>
      </c>
      <c r="N85" s="30" t="b">
        <v>0</v>
      </c>
      <c r="O85" s="30" t="b">
        <v>0</v>
      </c>
      <c r="P85" s="30" t="b">
        <v>0</v>
      </c>
      <c r="Q85" s="30" t="b">
        <v>0</v>
      </c>
      <c r="R85" s="30" t="b">
        <v>0</v>
      </c>
      <c r="S85" s="30" t="b">
        <v>0</v>
      </c>
      <c r="T85" s="30" t="b">
        <v>0</v>
      </c>
      <c r="U85" s="30" t="b">
        <v>0</v>
      </c>
    </row>
    <row r="86">
      <c r="A86" s="33"/>
      <c r="B86" s="33"/>
      <c r="C86" s="33"/>
      <c r="D86" s="34"/>
      <c r="E86" s="34"/>
      <c r="F86" s="34"/>
      <c r="G86" s="24">
        <v>0.108</v>
      </c>
      <c r="H86" s="25">
        <f t="shared" si="1"/>
        <v>0</v>
      </c>
      <c r="I86" s="26">
        <f t="shared" si="2"/>
        <v>0</v>
      </c>
      <c r="J86" s="26">
        <f t="shared" si="3"/>
        <v>0</v>
      </c>
      <c r="K86" s="26">
        <f t="shared" si="4"/>
        <v>0</v>
      </c>
      <c r="L86" s="27" t="str">
        <f t="shared" si="5"/>
        <v/>
      </c>
      <c r="M86" s="28">
        <f t="shared" si="6"/>
        <v>0</v>
      </c>
      <c r="N86" s="30" t="b">
        <v>0</v>
      </c>
      <c r="O86" s="30" t="b">
        <v>0</v>
      </c>
      <c r="P86" s="30" t="b">
        <v>0</v>
      </c>
      <c r="Q86" s="30" t="b">
        <v>0</v>
      </c>
      <c r="R86" s="30" t="b">
        <v>0</v>
      </c>
      <c r="S86" s="30" t="b">
        <v>0</v>
      </c>
      <c r="T86" s="30" t="b">
        <v>0</v>
      </c>
      <c r="U86" s="30" t="b">
        <v>0</v>
      </c>
    </row>
    <row r="87">
      <c r="A87" s="33"/>
      <c r="B87" s="33"/>
      <c r="C87" s="33"/>
      <c r="D87" s="34"/>
      <c r="E87" s="34"/>
      <c r="F87" s="34"/>
      <c r="G87" s="24">
        <v>0.108</v>
      </c>
      <c r="H87" s="25">
        <f t="shared" si="1"/>
        <v>0</v>
      </c>
      <c r="I87" s="26">
        <f t="shared" si="2"/>
        <v>0</v>
      </c>
      <c r="J87" s="26">
        <f t="shared" si="3"/>
        <v>0</v>
      </c>
      <c r="K87" s="26">
        <f t="shared" si="4"/>
        <v>0</v>
      </c>
      <c r="L87" s="27" t="str">
        <f t="shared" si="5"/>
        <v/>
      </c>
      <c r="M87" s="28">
        <f t="shared" si="6"/>
        <v>0</v>
      </c>
      <c r="N87" s="30" t="b">
        <v>0</v>
      </c>
      <c r="O87" s="30" t="b">
        <v>0</v>
      </c>
      <c r="P87" s="30" t="b">
        <v>0</v>
      </c>
      <c r="Q87" s="30" t="b">
        <v>0</v>
      </c>
      <c r="R87" s="30" t="b">
        <v>0</v>
      </c>
      <c r="S87" s="30" t="b">
        <v>0</v>
      </c>
      <c r="T87" s="30" t="b">
        <v>0</v>
      </c>
      <c r="U87" s="30" t="b">
        <v>0</v>
      </c>
    </row>
    <row r="88">
      <c r="A88" s="33"/>
      <c r="B88" s="33"/>
      <c r="C88" s="33"/>
      <c r="D88" s="34"/>
      <c r="E88" s="34"/>
      <c r="F88" s="34"/>
      <c r="G88" s="24">
        <v>0.108</v>
      </c>
      <c r="H88" s="25">
        <f t="shared" si="1"/>
        <v>0</v>
      </c>
      <c r="I88" s="26">
        <f t="shared" si="2"/>
        <v>0</v>
      </c>
      <c r="J88" s="26">
        <f t="shared" si="3"/>
        <v>0</v>
      </c>
      <c r="K88" s="26">
        <f t="shared" si="4"/>
        <v>0</v>
      </c>
      <c r="L88" s="27" t="str">
        <f t="shared" si="5"/>
        <v/>
      </c>
      <c r="M88" s="28">
        <f t="shared" si="6"/>
        <v>0</v>
      </c>
      <c r="N88" s="30" t="b">
        <v>0</v>
      </c>
      <c r="O88" s="30" t="b">
        <v>0</v>
      </c>
      <c r="P88" s="30" t="b">
        <v>0</v>
      </c>
      <c r="Q88" s="30" t="b">
        <v>0</v>
      </c>
      <c r="R88" s="30" t="b">
        <v>0</v>
      </c>
      <c r="S88" s="30" t="b">
        <v>0</v>
      </c>
      <c r="T88" s="30" t="b">
        <v>0</v>
      </c>
      <c r="U88" s="30" t="b">
        <v>0</v>
      </c>
    </row>
    <row r="89">
      <c r="A89" s="33"/>
      <c r="B89" s="33"/>
      <c r="C89" s="33"/>
      <c r="D89" s="34"/>
      <c r="E89" s="34"/>
      <c r="F89" s="34"/>
      <c r="G89" s="24">
        <v>0.108</v>
      </c>
      <c r="H89" s="25">
        <f t="shared" si="1"/>
        <v>0</v>
      </c>
      <c r="I89" s="26">
        <f t="shared" si="2"/>
        <v>0</v>
      </c>
      <c r="J89" s="26">
        <f t="shared" si="3"/>
        <v>0</v>
      </c>
      <c r="K89" s="26">
        <f t="shared" si="4"/>
        <v>0</v>
      </c>
      <c r="L89" s="27" t="str">
        <f t="shared" si="5"/>
        <v/>
      </c>
      <c r="M89" s="28">
        <f t="shared" si="6"/>
        <v>0</v>
      </c>
      <c r="N89" s="30" t="b">
        <v>0</v>
      </c>
      <c r="O89" s="30" t="b">
        <v>0</v>
      </c>
      <c r="P89" s="30" t="b">
        <v>0</v>
      </c>
      <c r="Q89" s="30" t="b">
        <v>0</v>
      </c>
      <c r="R89" s="30" t="b">
        <v>0</v>
      </c>
      <c r="S89" s="30" t="b">
        <v>0</v>
      </c>
      <c r="T89" s="30" t="b">
        <v>0</v>
      </c>
      <c r="U89" s="30" t="b">
        <v>0</v>
      </c>
    </row>
    <row r="90">
      <c r="A90" s="33"/>
      <c r="B90" s="33"/>
      <c r="C90" s="33"/>
      <c r="D90" s="34"/>
      <c r="E90" s="34"/>
      <c r="F90" s="34"/>
      <c r="G90" s="24">
        <v>0.108</v>
      </c>
      <c r="H90" s="25">
        <f t="shared" si="1"/>
        <v>0</v>
      </c>
      <c r="I90" s="26">
        <f t="shared" si="2"/>
        <v>0</v>
      </c>
      <c r="J90" s="26">
        <f t="shared" si="3"/>
        <v>0</v>
      </c>
      <c r="K90" s="26">
        <f t="shared" si="4"/>
        <v>0</v>
      </c>
      <c r="L90" s="27" t="str">
        <f t="shared" si="5"/>
        <v/>
      </c>
      <c r="M90" s="28">
        <f t="shared" si="6"/>
        <v>0</v>
      </c>
      <c r="N90" s="30" t="b">
        <v>0</v>
      </c>
      <c r="O90" s="30" t="b">
        <v>0</v>
      </c>
      <c r="P90" s="30" t="b">
        <v>0</v>
      </c>
      <c r="Q90" s="30" t="b">
        <v>0</v>
      </c>
      <c r="R90" s="30" t="b">
        <v>0</v>
      </c>
      <c r="S90" s="30" t="b">
        <v>0</v>
      </c>
      <c r="T90" s="30" t="b">
        <v>0</v>
      </c>
      <c r="U90" s="30" t="b">
        <v>0</v>
      </c>
    </row>
    <row r="91">
      <c r="A91" s="33"/>
      <c r="B91" s="33"/>
      <c r="C91" s="33"/>
      <c r="D91" s="34"/>
      <c r="E91" s="34"/>
      <c r="F91" s="34"/>
      <c r="G91" s="24">
        <v>0.108</v>
      </c>
      <c r="H91" s="25">
        <f t="shared" si="1"/>
        <v>0</v>
      </c>
      <c r="I91" s="26">
        <f t="shared" si="2"/>
        <v>0</v>
      </c>
      <c r="J91" s="26">
        <f t="shared" si="3"/>
        <v>0</v>
      </c>
      <c r="K91" s="26">
        <f t="shared" si="4"/>
        <v>0</v>
      </c>
      <c r="L91" s="27" t="str">
        <f t="shared" si="5"/>
        <v/>
      </c>
      <c r="M91" s="28">
        <f t="shared" si="6"/>
        <v>0</v>
      </c>
      <c r="N91" s="30" t="b">
        <v>0</v>
      </c>
      <c r="O91" s="30" t="b">
        <v>0</v>
      </c>
      <c r="P91" s="30" t="b">
        <v>0</v>
      </c>
      <c r="Q91" s="30" t="b">
        <v>0</v>
      </c>
      <c r="R91" s="30" t="b">
        <v>0</v>
      </c>
      <c r="S91" s="30" t="b">
        <v>0</v>
      </c>
      <c r="T91" s="30" t="b">
        <v>0</v>
      </c>
      <c r="U91" s="30" t="b">
        <v>0</v>
      </c>
    </row>
    <row r="92">
      <c r="A92" s="33"/>
      <c r="B92" s="33"/>
      <c r="C92" s="33"/>
      <c r="D92" s="34"/>
      <c r="E92" s="34"/>
      <c r="F92" s="34"/>
      <c r="G92" s="24">
        <v>0.108</v>
      </c>
      <c r="H92" s="25">
        <f t="shared" si="1"/>
        <v>0</v>
      </c>
      <c r="I92" s="26">
        <f t="shared" si="2"/>
        <v>0</v>
      </c>
      <c r="J92" s="26">
        <f t="shared" si="3"/>
        <v>0</v>
      </c>
      <c r="K92" s="26">
        <f t="shared" si="4"/>
        <v>0</v>
      </c>
      <c r="L92" s="27" t="str">
        <f t="shared" si="5"/>
        <v/>
      </c>
      <c r="M92" s="28">
        <f t="shared" si="6"/>
        <v>0</v>
      </c>
      <c r="N92" s="30" t="b">
        <v>0</v>
      </c>
      <c r="O92" s="30" t="b">
        <v>0</v>
      </c>
      <c r="P92" s="30" t="b">
        <v>0</v>
      </c>
      <c r="Q92" s="30" t="b">
        <v>0</v>
      </c>
      <c r="R92" s="30" t="b">
        <v>0</v>
      </c>
      <c r="S92" s="30" t="b">
        <v>0</v>
      </c>
      <c r="T92" s="30" t="b">
        <v>0</v>
      </c>
      <c r="U92" s="30" t="b">
        <v>0</v>
      </c>
    </row>
    <row r="93">
      <c r="A93" s="33"/>
      <c r="B93" s="33"/>
      <c r="C93" s="33"/>
      <c r="D93" s="34"/>
      <c r="E93" s="34"/>
      <c r="F93" s="34"/>
      <c r="G93" s="24">
        <v>0.108</v>
      </c>
      <c r="H93" s="25">
        <f t="shared" si="1"/>
        <v>0</v>
      </c>
      <c r="I93" s="26">
        <f t="shared" si="2"/>
        <v>0</v>
      </c>
      <c r="J93" s="26">
        <f t="shared" si="3"/>
        <v>0</v>
      </c>
      <c r="K93" s="26">
        <f t="shared" si="4"/>
        <v>0</v>
      </c>
      <c r="L93" s="27" t="str">
        <f t="shared" si="5"/>
        <v/>
      </c>
      <c r="M93" s="28">
        <f t="shared" si="6"/>
        <v>0</v>
      </c>
      <c r="N93" s="30" t="b">
        <v>0</v>
      </c>
      <c r="O93" s="30" t="b">
        <v>0</v>
      </c>
      <c r="P93" s="30" t="b">
        <v>0</v>
      </c>
      <c r="Q93" s="30" t="b">
        <v>0</v>
      </c>
      <c r="R93" s="30" t="b">
        <v>0</v>
      </c>
      <c r="S93" s="30" t="b">
        <v>0</v>
      </c>
      <c r="T93" s="30" t="b">
        <v>0</v>
      </c>
      <c r="U93" s="30" t="b">
        <v>0</v>
      </c>
    </row>
    <row r="94">
      <c r="A94" s="33"/>
      <c r="B94" s="33"/>
      <c r="C94" s="33"/>
      <c r="D94" s="34"/>
      <c r="E94" s="34"/>
      <c r="F94" s="34"/>
      <c r="G94" s="24">
        <v>0.108</v>
      </c>
      <c r="H94" s="25">
        <f t="shared" si="1"/>
        <v>0</v>
      </c>
      <c r="I94" s="26">
        <f t="shared" si="2"/>
        <v>0</v>
      </c>
      <c r="J94" s="26">
        <f t="shared" si="3"/>
        <v>0</v>
      </c>
      <c r="K94" s="26">
        <f t="shared" si="4"/>
        <v>0</v>
      </c>
      <c r="L94" s="27" t="str">
        <f t="shared" si="5"/>
        <v/>
      </c>
      <c r="M94" s="28">
        <f t="shared" si="6"/>
        <v>0</v>
      </c>
      <c r="N94" s="30" t="b">
        <v>0</v>
      </c>
      <c r="O94" s="30" t="b">
        <v>0</v>
      </c>
      <c r="P94" s="30" t="b">
        <v>0</v>
      </c>
      <c r="Q94" s="30" t="b">
        <v>0</v>
      </c>
      <c r="R94" s="30" t="b">
        <v>0</v>
      </c>
      <c r="S94" s="30" t="b">
        <v>0</v>
      </c>
      <c r="T94" s="30" t="b">
        <v>0</v>
      </c>
      <c r="U94" s="30" t="b">
        <v>0</v>
      </c>
    </row>
    <row r="95">
      <c r="A95" s="33"/>
      <c r="B95" s="33"/>
      <c r="C95" s="33"/>
      <c r="D95" s="34"/>
      <c r="E95" s="34"/>
      <c r="F95" s="34"/>
      <c r="G95" s="24">
        <v>0.108</v>
      </c>
      <c r="H95" s="25">
        <f t="shared" si="1"/>
        <v>0</v>
      </c>
      <c r="I95" s="26">
        <f t="shared" si="2"/>
        <v>0</v>
      </c>
      <c r="J95" s="26">
        <f t="shared" si="3"/>
        <v>0</v>
      </c>
      <c r="K95" s="26">
        <f t="shared" si="4"/>
        <v>0</v>
      </c>
      <c r="L95" s="27" t="str">
        <f t="shared" si="5"/>
        <v/>
      </c>
      <c r="M95" s="28">
        <f t="shared" si="6"/>
        <v>0</v>
      </c>
      <c r="N95" s="30" t="b">
        <v>0</v>
      </c>
      <c r="O95" s="30" t="b">
        <v>0</v>
      </c>
      <c r="P95" s="30" t="b">
        <v>0</v>
      </c>
      <c r="Q95" s="30" t="b">
        <v>0</v>
      </c>
      <c r="R95" s="30" t="b">
        <v>0</v>
      </c>
      <c r="S95" s="30" t="b">
        <v>0</v>
      </c>
      <c r="T95" s="30" t="b">
        <v>0</v>
      </c>
      <c r="U95" s="30" t="b">
        <v>0</v>
      </c>
    </row>
    <row r="96">
      <c r="A96" s="33"/>
      <c r="B96" s="33"/>
      <c r="C96" s="33"/>
      <c r="D96" s="34"/>
      <c r="E96" s="34"/>
      <c r="F96" s="34"/>
      <c r="G96" s="24">
        <v>0.108</v>
      </c>
      <c r="H96" s="25">
        <f t="shared" si="1"/>
        <v>0</v>
      </c>
      <c r="I96" s="26">
        <f t="shared" si="2"/>
        <v>0</v>
      </c>
      <c r="J96" s="26">
        <f t="shared" si="3"/>
        <v>0</v>
      </c>
      <c r="K96" s="26">
        <f t="shared" si="4"/>
        <v>0</v>
      </c>
      <c r="L96" s="27" t="str">
        <f t="shared" si="5"/>
        <v/>
      </c>
      <c r="M96" s="28">
        <f t="shared" si="6"/>
        <v>0</v>
      </c>
      <c r="N96" s="30" t="b">
        <v>0</v>
      </c>
      <c r="O96" s="30" t="b">
        <v>0</v>
      </c>
      <c r="P96" s="30" t="b">
        <v>0</v>
      </c>
      <c r="Q96" s="30" t="b">
        <v>0</v>
      </c>
      <c r="R96" s="30" t="b">
        <v>0</v>
      </c>
      <c r="S96" s="30" t="b">
        <v>0</v>
      </c>
      <c r="T96" s="30" t="b">
        <v>0</v>
      </c>
      <c r="U96" s="30" t="b">
        <v>0</v>
      </c>
    </row>
    <row r="97">
      <c r="A97" s="33"/>
      <c r="B97" s="33"/>
      <c r="C97" s="33"/>
      <c r="D97" s="34"/>
      <c r="E97" s="34"/>
      <c r="F97" s="34"/>
      <c r="G97" s="24">
        <v>0.108</v>
      </c>
      <c r="H97" s="25">
        <f t="shared" si="1"/>
        <v>0</v>
      </c>
      <c r="I97" s="26">
        <f t="shared" si="2"/>
        <v>0</v>
      </c>
      <c r="J97" s="26">
        <f t="shared" si="3"/>
        <v>0</v>
      </c>
      <c r="K97" s="26">
        <f t="shared" si="4"/>
        <v>0</v>
      </c>
      <c r="L97" s="27" t="str">
        <f t="shared" si="5"/>
        <v/>
      </c>
      <c r="M97" s="28">
        <f t="shared" si="6"/>
        <v>0</v>
      </c>
      <c r="N97" s="30" t="b">
        <v>0</v>
      </c>
      <c r="O97" s="30" t="b">
        <v>0</v>
      </c>
      <c r="P97" s="30" t="b">
        <v>0</v>
      </c>
      <c r="Q97" s="30" t="b">
        <v>0</v>
      </c>
      <c r="R97" s="30" t="b">
        <v>0</v>
      </c>
      <c r="S97" s="30" t="b">
        <v>0</v>
      </c>
      <c r="T97" s="30" t="b">
        <v>0</v>
      </c>
      <c r="U97" s="30" t="b">
        <v>0</v>
      </c>
    </row>
    <row r="98">
      <c r="A98" s="33"/>
      <c r="B98" s="33"/>
      <c r="C98" s="33"/>
      <c r="D98" s="34"/>
      <c r="E98" s="34"/>
      <c r="F98" s="34"/>
      <c r="G98" s="24">
        <v>0.108</v>
      </c>
      <c r="H98" s="25">
        <f t="shared" si="1"/>
        <v>0</v>
      </c>
      <c r="I98" s="26">
        <f t="shared" si="2"/>
        <v>0</v>
      </c>
      <c r="J98" s="26">
        <f t="shared" si="3"/>
        <v>0</v>
      </c>
      <c r="K98" s="26">
        <f t="shared" si="4"/>
        <v>0</v>
      </c>
      <c r="L98" s="27" t="str">
        <f t="shared" si="5"/>
        <v/>
      </c>
      <c r="M98" s="28">
        <f t="shared" si="6"/>
        <v>0</v>
      </c>
      <c r="N98" s="30" t="b">
        <v>0</v>
      </c>
      <c r="O98" s="30" t="b">
        <v>0</v>
      </c>
      <c r="P98" s="30" t="b">
        <v>0</v>
      </c>
      <c r="Q98" s="30" t="b">
        <v>0</v>
      </c>
      <c r="R98" s="30" t="b">
        <v>0</v>
      </c>
      <c r="S98" s="30" t="b">
        <v>0</v>
      </c>
      <c r="T98" s="30" t="b">
        <v>0</v>
      </c>
      <c r="U98" s="30" t="b">
        <v>0</v>
      </c>
    </row>
    <row r="99">
      <c r="A99" s="33"/>
      <c r="B99" s="33"/>
      <c r="C99" s="33"/>
      <c r="D99" s="34"/>
      <c r="E99" s="34"/>
      <c r="F99" s="34"/>
      <c r="G99" s="24">
        <v>0.108</v>
      </c>
      <c r="H99" s="25">
        <f t="shared" si="1"/>
        <v>0</v>
      </c>
      <c r="I99" s="26">
        <f t="shared" si="2"/>
        <v>0</v>
      </c>
      <c r="J99" s="26">
        <f t="shared" si="3"/>
        <v>0</v>
      </c>
      <c r="K99" s="26">
        <f t="shared" si="4"/>
        <v>0</v>
      </c>
      <c r="L99" s="27" t="str">
        <f t="shared" si="5"/>
        <v/>
      </c>
      <c r="M99" s="28">
        <f t="shared" si="6"/>
        <v>0</v>
      </c>
      <c r="N99" s="30" t="b">
        <v>0</v>
      </c>
      <c r="O99" s="30" t="b">
        <v>0</v>
      </c>
      <c r="P99" s="30" t="b">
        <v>0</v>
      </c>
      <c r="Q99" s="30" t="b">
        <v>0</v>
      </c>
      <c r="R99" s="30" t="b">
        <v>0</v>
      </c>
      <c r="S99" s="30" t="b">
        <v>0</v>
      </c>
      <c r="T99" s="30" t="b">
        <v>0</v>
      </c>
      <c r="U99" s="30" t="b">
        <v>0</v>
      </c>
    </row>
    <row r="100">
      <c r="A100" s="33"/>
      <c r="B100" s="33"/>
      <c r="C100" s="33"/>
      <c r="D100" s="34"/>
      <c r="E100" s="34"/>
      <c r="F100" s="34"/>
      <c r="G100" s="24">
        <v>0.108</v>
      </c>
      <c r="H100" s="25">
        <f t="shared" si="1"/>
        <v>0</v>
      </c>
      <c r="I100" s="26">
        <f t="shared" si="2"/>
        <v>0</v>
      </c>
      <c r="J100" s="26">
        <f t="shared" si="3"/>
        <v>0</v>
      </c>
      <c r="K100" s="26">
        <f t="shared" si="4"/>
        <v>0</v>
      </c>
      <c r="L100" s="27" t="str">
        <f t="shared" si="5"/>
        <v/>
      </c>
      <c r="M100" s="28">
        <f t="shared" si="6"/>
        <v>0</v>
      </c>
      <c r="N100" s="30" t="b">
        <v>0</v>
      </c>
      <c r="O100" s="30" t="b">
        <v>0</v>
      </c>
      <c r="P100" s="30" t="b">
        <v>0</v>
      </c>
      <c r="Q100" s="30" t="b">
        <v>0</v>
      </c>
      <c r="R100" s="30" t="b">
        <v>0</v>
      </c>
      <c r="S100" s="30" t="b">
        <v>0</v>
      </c>
      <c r="T100" s="30" t="b">
        <v>0</v>
      </c>
      <c r="U100" s="30" t="b">
        <v>0</v>
      </c>
    </row>
    <row r="101">
      <c r="A101" s="33"/>
      <c r="B101" s="33"/>
      <c r="C101" s="33"/>
      <c r="D101" s="34"/>
      <c r="E101" s="34"/>
      <c r="F101" s="34"/>
      <c r="G101" s="24">
        <v>0.108</v>
      </c>
      <c r="H101" s="25">
        <f t="shared" si="1"/>
        <v>0</v>
      </c>
      <c r="I101" s="26">
        <f t="shared" si="2"/>
        <v>0</v>
      </c>
      <c r="J101" s="26">
        <f t="shared" si="3"/>
        <v>0</v>
      </c>
      <c r="K101" s="26">
        <f t="shared" si="4"/>
        <v>0</v>
      </c>
      <c r="L101" s="27" t="str">
        <f t="shared" si="5"/>
        <v/>
      </c>
      <c r="M101" s="28">
        <f t="shared" si="6"/>
        <v>0</v>
      </c>
      <c r="N101" s="30" t="b">
        <v>0</v>
      </c>
      <c r="O101" s="30" t="b">
        <v>0</v>
      </c>
      <c r="P101" s="30" t="b">
        <v>0</v>
      </c>
      <c r="Q101" s="30" t="b">
        <v>0</v>
      </c>
      <c r="R101" s="30" t="b">
        <v>0</v>
      </c>
      <c r="S101" s="30" t="b">
        <v>0</v>
      </c>
      <c r="T101" s="30" t="b">
        <v>0</v>
      </c>
      <c r="U101" s="30" t="b">
        <v>0</v>
      </c>
    </row>
    <row r="102">
      <c r="A102" s="33"/>
      <c r="B102" s="33"/>
      <c r="C102" s="33"/>
      <c r="D102" s="34"/>
      <c r="E102" s="34"/>
      <c r="F102" s="34"/>
      <c r="G102" s="24">
        <v>0.108</v>
      </c>
      <c r="H102" s="25">
        <f t="shared" si="1"/>
        <v>0</v>
      </c>
      <c r="I102" s="26">
        <f t="shared" si="2"/>
        <v>0</v>
      </c>
      <c r="J102" s="26">
        <f t="shared" si="3"/>
        <v>0</v>
      </c>
      <c r="K102" s="26">
        <f t="shared" si="4"/>
        <v>0</v>
      </c>
      <c r="L102" s="27" t="str">
        <f t="shared" si="5"/>
        <v/>
      </c>
      <c r="M102" s="28">
        <f t="shared" si="6"/>
        <v>0</v>
      </c>
      <c r="N102" s="30" t="b">
        <v>0</v>
      </c>
      <c r="O102" s="30" t="b">
        <v>0</v>
      </c>
      <c r="P102" s="30" t="b">
        <v>0</v>
      </c>
      <c r="Q102" s="30" t="b">
        <v>0</v>
      </c>
      <c r="R102" s="30" t="b">
        <v>0</v>
      </c>
      <c r="S102" s="30" t="b">
        <v>0</v>
      </c>
      <c r="T102" s="30" t="b">
        <v>0</v>
      </c>
      <c r="U102" s="30" t="b">
        <v>0</v>
      </c>
    </row>
    <row r="103">
      <c r="D103" s="35"/>
      <c r="E103" s="35"/>
      <c r="F103" s="35"/>
      <c r="H103" s="25">
        <f t="shared" si="1"/>
        <v>0</v>
      </c>
      <c r="N103" s="30" t="b">
        <v>0</v>
      </c>
      <c r="O103" s="30" t="b">
        <v>0</v>
      </c>
      <c r="P103" s="30" t="b">
        <v>0</v>
      </c>
      <c r="Q103" s="30" t="b">
        <v>0</v>
      </c>
      <c r="R103" s="30" t="b">
        <v>0</v>
      </c>
      <c r="S103" s="30" t="b">
        <v>0</v>
      </c>
      <c r="T103" s="30" t="b">
        <v>0</v>
      </c>
      <c r="U103" s="30" t="b">
        <v>0</v>
      </c>
    </row>
    <row r="104">
      <c r="D104" s="35"/>
      <c r="E104" s="35"/>
      <c r="F104" s="35"/>
      <c r="H104" s="25">
        <f t="shared" si="1"/>
        <v>0</v>
      </c>
      <c r="N104" s="30" t="b">
        <v>0</v>
      </c>
      <c r="O104" s="30" t="b">
        <v>0</v>
      </c>
      <c r="P104" s="30" t="b">
        <v>0</v>
      </c>
      <c r="Q104" s="30" t="b">
        <v>0</v>
      </c>
      <c r="R104" s="30" t="b">
        <v>0</v>
      </c>
      <c r="S104" s="30" t="b">
        <v>0</v>
      </c>
      <c r="T104" s="30" t="b">
        <v>0</v>
      </c>
      <c r="U104" s="30" t="b">
        <v>0</v>
      </c>
    </row>
    <row r="105">
      <c r="H105" s="25">
        <f t="shared" si="1"/>
        <v>0</v>
      </c>
      <c r="N105" s="30" t="b">
        <v>0</v>
      </c>
      <c r="O105" s="30" t="b">
        <v>0</v>
      </c>
      <c r="P105" s="30" t="b">
        <v>0</v>
      </c>
      <c r="Q105" s="30" t="b">
        <v>0</v>
      </c>
      <c r="R105" s="30" t="b">
        <v>0</v>
      </c>
      <c r="S105" s="30" t="b">
        <v>0</v>
      </c>
      <c r="T105" s="30" t="b">
        <v>0</v>
      </c>
      <c r="U105" s="30" t="b">
        <v>0</v>
      </c>
    </row>
    <row r="106">
      <c r="H106" s="25">
        <f t="shared" si="1"/>
        <v>0</v>
      </c>
      <c r="N106" s="30" t="b">
        <v>0</v>
      </c>
      <c r="O106" s="30" t="b">
        <v>0</v>
      </c>
      <c r="P106" s="30" t="b">
        <v>0</v>
      </c>
      <c r="Q106" s="30" t="b">
        <v>0</v>
      </c>
      <c r="R106" s="30" t="b">
        <v>0</v>
      </c>
      <c r="S106" s="30" t="b">
        <v>0</v>
      </c>
      <c r="T106" s="30" t="b">
        <v>0</v>
      </c>
      <c r="U106" s="30" t="b">
        <v>0</v>
      </c>
    </row>
    <row r="107">
      <c r="H107" s="25">
        <f t="shared" si="1"/>
        <v>0</v>
      </c>
      <c r="N107" s="30" t="b">
        <v>0</v>
      </c>
      <c r="O107" s="30" t="b">
        <v>0</v>
      </c>
      <c r="P107" s="30" t="b">
        <v>0</v>
      </c>
      <c r="Q107" s="30" t="b">
        <v>0</v>
      </c>
      <c r="R107" s="30" t="b">
        <v>0</v>
      </c>
      <c r="S107" s="30" t="b">
        <v>0</v>
      </c>
      <c r="T107" s="30" t="b">
        <v>0</v>
      </c>
      <c r="U107" s="30" t="b">
        <v>0</v>
      </c>
    </row>
    <row r="108">
      <c r="H108" s="25">
        <f t="shared" si="1"/>
        <v>0</v>
      </c>
      <c r="N108" s="30" t="b">
        <v>0</v>
      </c>
      <c r="O108" s="30" t="b">
        <v>0</v>
      </c>
      <c r="P108" s="30" t="b">
        <v>0</v>
      </c>
      <c r="Q108" s="30" t="b">
        <v>0</v>
      </c>
      <c r="R108" s="30" t="b">
        <v>0</v>
      </c>
      <c r="S108" s="30" t="b">
        <v>0</v>
      </c>
      <c r="T108" s="30" t="b">
        <v>0</v>
      </c>
      <c r="U108" s="30" t="b">
        <v>0</v>
      </c>
    </row>
    <row r="109">
      <c r="H109" s="25">
        <f t="shared" si="1"/>
        <v>0</v>
      </c>
      <c r="N109" s="30" t="b">
        <v>0</v>
      </c>
      <c r="O109" s="30" t="b">
        <v>0</v>
      </c>
      <c r="P109" s="30" t="b">
        <v>0</v>
      </c>
      <c r="Q109" s="30" t="b">
        <v>0</v>
      </c>
      <c r="R109" s="30" t="b">
        <v>0</v>
      </c>
      <c r="S109" s="30" t="b">
        <v>0</v>
      </c>
      <c r="T109" s="30" t="b">
        <v>0</v>
      </c>
      <c r="U109" s="30" t="b">
        <v>0</v>
      </c>
    </row>
    <row r="110">
      <c r="H110" s="25">
        <f t="shared" si="1"/>
        <v>0</v>
      </c>
      <c r="N110" s="30" t="b">
        <v>0</v>
      </c>
      <c r="O110" s="30" t="b">
        <v>0</v>
      </c>
      <c r="P110" s="30" t="b">
        <v>0</v>
      </c>
      <c r="Q110" s="30" t="b">
        <v>0</v>
      </c>
      <c r="R110" s="30" t="b">
        <v>0</v>
      </c>
      <c r="S110" s="30" t="b">
        <v>0</v>
      </c>
      <c r="T110" s="30" t="b">
        <v>0</v>
      </c>
      <c r="U110" s="30" t="b">
        <v>0</v>
      </c>
    </row>
    <row r="111">
      <c r="H111" s="25">
        <f t="shared" si="1"/>
        <v>0</v>
      </c>
      <c r="N111" s="30" t="b">
        <v>0</v>
      </c>
      <c r="O111" s="30" t="b">
        <v>0</v>
      </c>
      <c r="P111" s="30" t="b">
        <v>0</v>
      </c>
      <c r="Q111" s="30" t="b">
        <v>0</v>
      </c>
      <c r="R111" s="30" t="b">
        <v>0</v>
      </c>
      <c r="S111" s="30" t="b">
        <v>0</v>
      </c>
      <c r="T111" s="30" t="b">
        <v>0</v>
      </c>
      <c r="U111" s="30" t="b">
        <v>0</v>
      </c>
    </row>
    <row r="112">
      <c r="H112" s="25">
        <f t="shared" si="1"/>
        <v>0</v>
      </c>
      <c r="N112" s="30" t="b">
        <v>0</v>
      </c>
      <c r="O112" s="30" t="b">
        <v>0</v>
      </c>
      <c r="P112" s="30" t="b">
        <v>0</v>
      </c>
      <c r="Q112" s="30" t="b">
        <v>0</v>
      </c>
      <c r="R112" s="30" t="b">
        <v>0</v>
      </c>
      <c r="S112" s="30" t="b">
        <v>0</v>
      </c>
      <c r="T112" s="30" t="b">
        <v>0</v>
      </c>
      <c r="U112" s="30" t="b">
        <v>0</v>
      </c>
    </row>
    <row r="113">
      <c r="H113" s="25">
        <f t="shared" si="1"/>
        <v>0</v>
      </c>
      <c r="N113" s="30" t="b">
        <v>0</v>
      </c>
      <c r="O113" s="30" t="b">
        <v>0</v>
      </c>
      <c r="P113" s="30" t="b">
        <v>0</v>
      </c>
      <c r="Q113" s="30" t="b">
        <v>0</v>
      </c>
      <c r="R113" s="30" t="b">
        <v>0</v>
      </c>
      <c r="S113" s="30" t="b">
        <v>0</v>
      </c>
      <c r="T113" s="30" t="b">
        <v>0</v>
      </c>
      <c r="U113" s="30" t="b">
        <v>0</v>
      </c>
    </row>
    <row r="114">
      <c r="H114" s="25">
        <f t="shared" si="1"/>
        <v>0</v>
      </c>
      <c r="N114" s="30" t="b">
        <v>0</v>
      </c>
      <c r="O114" s="30" t="b">
        <v>0</v>
      </c>
      <c r="P114" s="30" t="b">
        <v>0</v>
      </c>
      <c r="Q114" s="30" t="b">
        <v>0</v>
      </c>
      <c r="R114" s="30" t="b">
        <v>0</v>
      </c>
      <c r="S114" s="30" t="b">
        <v>0</v>
      </c>
      <c r="T114" s="30" t="b">
        <v>0</v>
      </c>
      <c r="U114" s="30" t="b">
        <v>0</v>
      </c>
    </row>
    <row r="115">
      <c r="H115" s="25">
        <f t="shared" si="1"/>
        <v>0</v>
      </c>
      <c r="N115" s="30" t="b">
        <v>0</v>
      </c>
      <c r="O115" s="30" t="b">
        <v>0</v>
      </c>
      <c r="P115" s="30" t="b">
        <v>0</v>
      </c>
      <c r="Q115" s="30" t="b">
        <v>0</v>
      </c>
      <c r="R115" s="30" t="b">
        <v>0</v>
      </c>
      <c r="S115" s="30" t="b">
        <v>0</v>
      </c>
      <c r="T115" s="30" t="b">
        <v>0</v>
      </c>
      <c r="U115" s="30" t="b">
        <v>0</v>
      </c>
    </row>
    <row r="116">
      <c r="H116" s="25">
        <f t="shared" si="1"/>
        <v>0</v>
      </c>
      <c r="N116" s="30" t="b">
        <v>0</v>
      </c>
      <c r="O116" s="30" t="b">
        <v>0</v>
      </c>
      <c r="P116" s="30" t="b">
        <v>0</v>
      </c>
      <c r="Q116" s="30" t="b">
        <v>0</v>
      </c>
      <c r="R116" s="30" t="b">
        <v>0</v>
      </c>
      <c r="S116" s="30" t="b">
        <v>0</v>
      </c>
      <c r="T116" s="30" t="b">
        <v>0</v>
      </c>
      <c r="U116" s="30" t="b">
        <v>0</v>
      </c>
    </row>
    <row r="117">
      <c r="H117" s="25">
        <f t="shared" si="1"/>
        <v>0</v>
      </c>
      <c r="N117" s="30" t="b">
        <v>0</v>
      </c>
      <c r="O117" s="30" t="b">
        <v>0</v>
      </c>
      <c r="P117" s="30" t="b">
        <v>0</v>
      </c>
      <c r="Q117" s="30" t="b">
        <v>0</v>
      </c>
      <c r="R117" s="30" t="b">
        <v>0</v>
      </c>
      <c r="S117" s="30" t="b">
        <v>0</v>
      </c>
      <c r="T117" s="30" t="b">
        <v>0</v>
      </c>
      <c r="U117" s="30" t="b">
        <v>0</v>
      </c>
    </row>
    <row r="118">
      <c r="H118" s="25">
        <f t="shared" si="1"/>
        <v>0</v>
      </c>
      <c r="N118" s="30" t="b">
        <v>0</v>
      </c>
      <c r="O118" s="30" t="b">
        <v>0</v>
      </c>
      <c r="P118" s="30" t="b">
        <v>0</v>
      </c>
      <c r="Q118" s="30" t="b">
        <v>0</v>
      </c>
      <c r="R118" s="30" t="b">
        <v>0</v>
      </c>
      <c r="S118" s="30" t="b">
        <v>0</v>
      </c>
      <c r="T118" s="30" t="b">
        <v>0</v>
      </c>
      <c r="U118" s="30" t="b">
        <v>0</v>
      </c>
    </row>
    <row r="119">
      <c r="H119" s="25">
        <f t="shared" si="1"/>
        <v>0</v>
      </c>
      <c r="N119" s="30" t="b">
        <v>0</v>
      </c>
      <c r="O119" s="30" t="b">
        <v>0</v>
      </c>
      <c r="P119" s="30" t="b">
        <v>0</v>
      </c>
      <c r="Q119" s="30" t="b">
        <v>0</v>
      </c>
      <c r="R119" s="30" t="b">
        <v>0</v>
      </c>
      <c r="S119" s="30" t="b">
        <v>0</v>
      </c>
      <c r="T119" s="30" t="b">
        <v>0</v>
      </c>
      <c r="U119" s="30" t="b">
        <v>0</v>
      </c>
    </row>
    <row r="120">
      <c r="H120" s="25">
        <f t="shared" si="1"/>
        <v>0</v>
      </c>
      <c r="N120" s="30" t="b">
        <v>0</v>
      </c>
      <c r="O120" s="30" t="b">
        <v>0</v>
      </c>
      <c r="P120" s="30" t="b">
        <v>0</v>
      </c>
      <c r="Q120" s="30" t="b">
        <v>0</v>
      </c>
      <c r="R120" s="30" t="b">
        <v>0</v>
      </c>
      <c r="S120" s="30" t="b">
        <v>0</v>
      </c>
      <c r="T120" s="30" t="b">
        <v>0</v>
      </c>
      <c r="U120" s="30" t="b">
        <v>0</v>
      </c>
    </row>
    <row r="121">
      <c r="H121" s="25">
        <f t="shared" si="1"/>
        <v>0</v>
      </c>
      <c r="N121" s="30" t="b">
        <v>0</v>
      </c>
      <c r="O121" s="30" t="b">
        <v>0</v>
      </c>
      <c r="P121" s="30" t="b">
        <v>0</v>
      </c>
      <c r="Q121" s="30" t="b">
        <v>0</v>
      </c>
      <c r="R121" s="30" t="b">
        <v>0</v>
      </c>
      <c r="S121" s="30" t="b">
        <v>0</v>
      </c>
      <c r="T121" s="30" t="b">
        <v>0</v>
      </c>
      <c r="U121" s="30" t="b">
        <v>0</v>
      </c>
    </row>
    <row r="122">
      <c r="H122" s="25">
        <f t="shared" si="1"/>
        <v>0</v>
      </c>
      <c r="N122" s="30" t="b">
        <v>0</v>
      </c>
      <c r="O122" s="30" t="b">
        <v>0</v>
      </c>
      <c r="P122" s="30" t="b">
        <v>0</v>
      </c>
      <c r="Q122" s="30" t="b">
        <v>0</v>
      </c>
      <c r="R122" s="30" t="b">
        <v>0</v>
      </c>
      <c r="S122" s="30" t="b">
        <v>0</v>
      </c>
      <c r="T122" s="30" t="b">
        <v>0</v>
      </c>
      <c r="U122" s="30" t="b">
        <v>0</v>
      </c>
    </row>
    <row r="123">
      <c r="H123" s="25">
        <f t="shared" si="1"/>
        <v>0</v>
      </c>
      <c r="N123" s="30" t="b">
        <v>0</v>
      </c>
      <c r="O123" s="30" t="b">
        <v>0</v>
      </c>
      <c r="P123" s="30" t="b">
        <v>0</v>
      </c>
      <c r="Q123" s="30" t="b">
        <v>0</v>
      </c>
      <c r="R123" s="30" t="b">
        <v>0</v>
      </c>
      <c r="S123" s="30" t="b">
        <v>0</v>
      </c>
      <c r="T123" s="30" t="b">
        <v>0</v>
      </c>
      <c r="U123" s="30" t="b">
        <v>0</v>
      </c>
    </row>
    <row r="124">
      <c r="H124" s="25">
        <f t="shared" si="1"/>
        <v>0</v>
      </c>
      <c r="N124" s="30" t="b">
        <v>0</v>
      </c>
      <c r="O124" s="30" t="b">
        <v>0</v>
      </c>
      <c r="P124" s="30" t="b">
        <v>0</v>
      </c>
      <c r="Q124" s="30" t="b">
        <v>0</v>
      </c>
      <c r="R124" s="30" t="b">
        <v>0</v>
      </c>
      <c r="S124" s="30" t="b">
        <v>0</v>
      </c>
      <c r="T124" s="30" t="b">
        <v>0</v>
      </c>
      <c r="U124" s="30" t="b">
        <v>0</v>
      </c>
    </row>
    <row r="125">
      <c r="H125" s="25">
        <f t="shared" si="1"/>
        <v>0</v>
      </c>
      <c r="N125" s="30" t="b">
        <v>0</v>
      </c>
      <c r="O125" s="30" t="b">
        <v>0</v>
      </c>
      <c r="P125" s="30" t="b">
        <v>0</v>
      </c>
      <c r="Q125" s="30" t="b">
        <v>0</v>
      </c>
      <c r="R125" s="30" t="b">
        <v>0</v>
      </c>
      <c r="S125" s="30" t="b">
        <v>0</v>
      </c>
      <c r="T125" s="30" t="b">
        <v>0</v>
      </c>
      <c r="U125" s="30" t="b">
        <v>0</v>
      </c>
    </row>
    <row r="126">
      <c r="H126" s="25">
        <f t="shared" si="1"/>
        <v>0</v>
      </c>
      <c r="N126" s="30" t="b">
        <v>0</v>
      </c>
      <c r="O126" s="30" t="b">
        <v>0</v>
      </c>
      <c r="P126" s="30" t="b">
        <v>0</v>
      </c>
      <c r="Q126" s="30" t="b">
        <v>0</v>
      </c>
      <c r="R126" s="30" t="b">
        <v>0</v>
      </c>
      <c r="S126" s="30" t="b">
        <v>0</v>
      </c>
      <c r="T126" s="30" t="b">
        <v>0</v>
      </c>
      <c r="U126" s="30" t="b">
        <v>0</v>
      </c>
    </row>
    <row r="127">
      <c r="H127" s="25">
        <f t="shared" si="1"/>
        <v>0</v>
      </c>
      <c r="N127" s="30" t="b">
        <v>0</v>
      </c>
      <c r="O127" s="30" t="b">
        <v>0</v>
      </c>
      <c r="P127" s="30" t="b">
        <v>0</v>
      </c>
      <c r="Q127" s="30" t="b">
        <v>0</v>
      </c>
      <c r="R127" s="30" t="b">
        <v>0</v>
      </c>
      <c r="S127" s="30" t="b">
        <v>0</v>
      </c>
      <c r="T127" s="30" t="b">
        <v>0</v>
      </c>
      <c r="U127" s="30" t="b">
        <v>0</v>
      </c>
    </row>
    <row r="128">
      <c r="H128" s="25">
        <f t="shared" si="1"/>
        <v>0</v>
      </c>
      <c r="N128" s="30" t="b">
        <v>0</v>
      </c>
      <c r="O128" s="30" t="b">
        <v>0</v>
      </c>
      <c r="P128" s="30" t="b">
        <v>0</v>
      </c>
      <c r="Q128" s="30" t="b">
        <v>0</v>
      </c>
      <c r="R128" s="30" t="b">
        <v>0</v>
      </c>
      <c r="S128" s="30" t="b">
        <v>0</v>
      </c>
      <c r="T128" s="30" t="b">
        <v>0</v>
      </c>
      <c r="U128" s="30" t="b">
        <v>0</v>
      </c>
    </row>
    <row r="129">
      <c r="H129" s="25">
        <f t="shared" si="1"/>
        <v>0</v>
      </c>
      <c r="N129" s="30" t="b">
        <v>0</v>
      </c>
      <c r="O129" s="30" t="b">
        <v>0</v>
      </c>
      <c r="P129" s="30" t="b">
        <v>0</v>
      </c>
      <c r="Q129" s="30" t="b">
        <v>0</v>
      </c>
      <c r="R129" s="30" t="b">
        <v>0</v>
      </c>
      <c r="S129" s="30" t="b">
        <v>0</v>
      </c>
      <c r="T129" s="30" t="b">
        <v>0</v>
      </c>
      <c r="U129" s="30" t="b">
        <v>0</v>
      </c>
    </row>
    <row r="130">
      <c r="H130" s="25">
        <f t="shared" si="1"/>
        <v>0</v>
      </c>
      <c r="N130" s="30" t="b">
        <v>0</v>
      </c>
      <c r="O130" s="30" t="b">
        <v>0</v>
      </c>
      <c r="P130" s="30" t="b">
        <v>0</v>
      </c>
      <c r="Q130" s="30" t="b">
        <v>0</v>
      </c>
      <c r="R130" s="30" t="b">
        <v>0</v>
      </c>
      <c r="S130" s="30" t="b">
        <v>0</v>
      </c>
      <c r="T130" s="30" t="b">
        <v>0</v>
      </c>
      <c r="U130" s="30" t="b">
        <v>0</v>
      </c>
    </row>
    <row r="131">
      <c r="H131" s="25">
        <f t="shared" si="1"/>
        <v>0</v>
      </c>
      <c r="N131" s="30" t="b">
        <v>0</v>
      </c>
      <c r="O131" s="30" t="b">
        <v>0</v>
      </c>
      <c r="P131" s="30" t="b">
        <v>0</v>
      </c>
      <c r="Q131" s="30" t="b">
        <v>0</v>
      </c>
      <c r="R131" s="30" t="b">
        <v>0</v>
      </c>
      <c r="S131" s="30" t="b">
        <v>0</v>
      </c>
      <c r="T131" s="30" t="b">
        <v>0</v>
      </c>
      <c r="U131" s="30" t="b">
        <v>0</v>
      </c>
    </row>
    <row r="132">
      <c r="H132" s="25">
        <f t="shared" si="1"/>
        <v>0</v>
      </c>
      <c r="N132" s="30" t="b">
        <v>0</v>
      </c>
      <c r="O132" s="30" t="b">
        <v>0</v>
      </c>
      <c r="P132" s="30" t="b">
        <v>0</v>
      </c>
      <c r="Q132" s="30" t="b">
        <v>0</v>
      </c>
      <c r="R132" s="30" t="b">
        <v>0</v>
      </c>
      <c r="S132" s="30" t="b">
        <v>0</v>
      </c>
      <c r="T132" s="30" t="b">
        <v>0</v>
      </c>
      <c r="U132" s="30" t="b">
        <v>0</v>
      </c>
    </row>
    <row r="133">
      <c r="H133" s="25">
        <f t="shared" si="1"/>
        <v>0</v>
      </c>
      <c r="N133" s="30" t="b">
        <v>0</v>
      </c>
      <c r="O133" s="30" t="b">
        <v>0</v>
      </c>
      <c r="P133" s="30" t="b">
        <v>0</v>
      </c>
      <c r="Q133" s="30" t="b">
        <v>0</v>
      </c>
      <c r="R133" s="30" t="b">
        <v>0</v>
      </c>
      <c r="S133" s="30" t="b">
        <v>0</v>
      </c>
      <c r="T133" s="30" t="b">
        <v>0</v>
      </c>
      <c r="U133" s="30" t="b">
        <v>0</v>
      </c>
    </row>
    <row r="134">
      <c r="H134" s="25">
        <f t="shared" si="1"/>
        <v>0</v>
      </c>
      <c r="N134" s="30" t="b">
        <v>0</v>
      </c>
      <c r="O134" s="30" t="b">
        <v>0</v>
      </c>
      <c r="P134" s="30" t="b">
        <v>0</v>
      </c>
      <c r="Q134" s="30" t="b">
        <v>0</v>
      </c>
      <c r="R134" s="30" t="b">
        <v>0</v>
      </c>
      <c r="S134" s="30" t="b">
        <v>0</v>
      </c>
      <c r="T134" s="30" t="b">
        <v>0</v>
      </c>
      <c r="U134" s="30" t="b">
        <v>0</v>
      </c>
    </row>
    <row r="135">
      <c r="H135" s="25">
        <f t="shared" si="1"/>
        <v>0</v>
      </c>
      <c r="N135" s="30" t="b">
        <v>0</v>
      </c>
      <c r="O135" s="30" t="b">
        <v>0</v>
      </c>
      <c r="P135" s="30" t="b">
        <v>0</v>
      </c>
      <c r="Q135" s="30" t="b">
        <v>0</v>
      </c>
      <c r="R135" s="30" t="b">
        <v>0</v>
      </c>
      <c r="S135" s="30" t="b">
        <v>0</v>
      </c>
      <c r="T135" s="30" t="b">
        <v>0</v>
      </c>
      <c r="U135" s="30" t="b">
        <v>0</v>
      </c>
    </row>
    <row r="136">
      <c r="H136" s="25">
        <f t="shared" si="1"/>
        <v>0</v>
      </c>
      <c r="N136" s="30" t="b">
        <v>0</v>
      </c>
      <c r="O136" s="30" t="b">
        <v>0</v>
      </c>
      <c r="P136" s="30" t="b">
        <v>0</v>
      </c>
      <c r="Q136" s="30" t="b">
        <v>0</v>
      </c>
      <c r="R136" s="30" t="b">
        <v>0</v>
      </c>
      <c r="S136" s="30" t="b">
        <v>0</v>
      </c>
      <c r="T136" s="30" t="b">
        <v>0</v>
      </c>
      <c r="U136" s="30" t="b">
        <v>0</v>
      </c>
    </row>
    <row r="137">
      <c r="H137" s="25">
        <f t="shared" si="1"/>
        <v>0</v>
      </c>
      <c r="N137" s="30" t="b">
        <v>0</v>
      </c>
      <c r="O137" s="30" t="b">
        <v>0</v>
      </c>
      <c r="P137" s="30" t="b">
        <v>0</v>
      </c>
      <c r="Q137" s="30" t="b">
        <v>0</v>
      </c>
      <c r="R137" s="30" t="b">
        <v>0</v>
      </c>
      <c r="S137" s="30" t="b">
        <v>0</v>
      </c>
      <c r="T137" s="30" t="b">
        <v>0</v>
      </c>
      <c r="U137" s="30" t="b">
        <v>0</v>
      </c>
    </row>
    <row r="138">
      <c r="H138" s="25">
        <f t="shared" si="1"/>
        <v>0</v>
      </c>
      <c r="N138" s="30" t="b">
        <v>0</v>
      </c>
      <c r="O138" s="30" t="b">
        <v>0</v>
      </c>
      <c r="P138" s="30" t="b">
        <v>0</v>
      </c>
      <c r="Q138" s="30" t="b">
        <v>0</v>
      </c>
      <c r="R138" s="30" t="b">
        <v>0</v>
      </c>
      <c r="S138" s="30" t="b">
        <v>0</v>
      </c>
      <c r="T138" s="30" t="b">
        <v>0</v>
      </c>
      <c r="U138" s="30" t="b">
        <v>0</v>
      </c>
    </row>
    <row r="139">
      <c r="H139" s="25">
        <f t="shared" si="1"/>
        <v>0</v>
      </c>
      <c r="N139" s="30" t="b">
        <v>0</v>
      </c>
      <c r="O139" s="30" t="b">
        <v>0</v>
      </c>
      <c r="P139" s="30" t="b">
        <v>0</v>
      </c>
      <c r="Q139" s="30" t="b">
        <v>0</v>
      </c>
      <c r="R139" s="30" t="b">
        <v>0</v>
      </c>
      <c r="S139" s="30" t="b">
        <v>0</v>
      </c>
      <c r="T139" s="30" t="b">
        <v>0</v>
      </c>
      <c r="U139" s="30" t="b">
        <v>0</v>
      </c>
    </row>
    <row r="140">
      <c r="H140" s="25">
        <f t="shared" si="1"/>
        <v>0</v>
      </c>
      <c r="N140" s="30" t="b">
        <v>0</v>
      </c>
      <c r="O140" s="30" t="b">
        <v>0</v>
      </c>
      <c r="P140" s="30" t="b">
        <v>0</v>
      </c>
      <c r="Q140" s="30" t="b">
        <v>0</v>
      </c>
      <c r="R140" s="30" t="b">
        <v>0</v>
      </c>
      <c r="S140" s="30" t="b">
        <v>0</v>
      </c>
      <c r="T140" s="30" t="b">
        <v>0</v>
      </c>
      <c r="U140" s="30" t="b">
        <v>0</v>
      </c>
    </row>
    <row r="141">
      <c r="H141" s="25">
        <f t="shared" si="1"/>
        <v>0</v>
      </c>
      <c r="N141" s="30" t="b">
        <v>0</v>
      </c>
      <c r="O141" s="30" t="b">
        <v>0</v>
      </c>
      <c r="P141" s="30" t="b">
        <v>0</v>
      </c>
      <c r="Q141" s="30" t="b">
        <v>0</v>
      </c>
      <c r="R141" s="30" t="b">
        <v>0</v>
      </c>
      <c r="S141" s="30" t="b">
        <v>0</v>
      </c>
      <c r="T141" s="30" t="b">
        <v>0</v>
      </c>
      <c r="U141" s="30" t="b">
        <v>0</v>
      </c>
    </row>
    <row r="142">
      <c r="H142" s="25">
        <f t="shared" si="1"/>
        <v>0</v>
      </c>
      <c r="N142" s="30" t="b">
        <v>0</v>
      </c>
      <c r="O142" s="30" t="b">
        <v>0</v>
      </c>
      <c r="P142" s="30" t="b">
        <v>0</v>
      </c>
      <c r="Q142" s="30" t="b">
        <v>0</v>
      </c>
      <c r="R142" s="30" t="b">
        <v>0</v>
      </c>
      <c r="S142" s="30" t="b">
        <v>0</v>
      </c>
      <c r="T142" s="30" t="b">
        <v>0</v>
      </c>
      <c r="U142" s="30" t="b">
        <v>0</v>
      </c>
    </row>
    <row r="143">
      <c r="H143" s="25">
        <f t="shared" si="1"/>
        <v>0</v>
      </c>
      <c r="N143" s="30" t="b">
        <v>0</v>
      </c>
      <c r="O143" s="30" t="b">
        <v>0</v>
      </c>
      <c r="P143" s="30" t="b">
        <v>0</v>
      </c>
      <c r="Q143" s="30" t="b">
        <v>0</v>
      </c>
      <c r="R143" s="30" t="b">
        <v>0</v>
      </c>
      <c r="S143" s="30" t="b">
        <v>0</v>
      </c>
      <c r="T143" s="30" t="b">
        <v>0</v>
      </c>
      <c r="U143" s="30" t="b">
        <v>0</v>
      </c>
    </row>
    <row r="144">
      <c r="H144" s="25">
        <f t="shared" si="1"/>
        <v>0</v>
      </c>
      <c r="N144" s="30" t="b">
        <v>0</v>
      </c>
      <c r="O144" s="30" t="b">
        <v>0</v>
      </c>
      <c r="P144" s="30" t="b">
        <v>0</v>
      </c>
      <c r="Q144" s="30" t="b">
        <v>0</v>
      </c>
      <c r="R144" s="30" t="b">
        <v>0</v>
      </c>
      <c r="S144" s="30" t="b">
        <v>0</v>
      </c>
      <c r="T144" s="30" t="b">
        <v>0</v>
      </c>
      <c r="U144" s="30" t="b">
        <v>0</v>
      </c>
    </row>
    <row r="145">
      <c r="H145" s="25">
        <f t="shared" si="1"/>
        <v>0</v>
      </c>
      <c r="N145" s="30" t="b">
        <v>0</v>
      </c>
      <c r="O145" s="30" t="b">
        <v>0</v>
      </c>
      <c r="P145" s="30" t="b">
        <v>0</v>
      </c>
      <c r="Q145" s="30" t="b">
        <v>0</v>
      </c>
      <c r="R145" s="30" t="b">
        <v>0</v>
      </c>
      <c r="S145" s="30" t="b">
        <v>0</v>
      </c>
      <c r="T145" s="30" t="b">
        <v>0</v>
      </c>
      <c r="U145" s="30" t="b">
        <v>0</v>
      </c>
    </row>
    <row r="146">
      <c r="H146" s="25">
        <f t="shared" si="1"/>
        <v>0</v>
      </c>
      <c r="N146" s="30" t="b">
        <v>0</v>
      </c>
      <c r="O146" s="30" t="b">
        <v>0</v>
      </c>
      <c r="P146" s="30" t="b">
        <v>0</v>
      </c>
      <c r="Q146" s="30" t="b">
        <v>0</v>
      </c>
      <c r="R146" s="30" t="b">
        <v>0</v>
      </c>
      <c r="S146" s="30" t="b">
        <v>0</v>
      </c>
      <c r="T146" s="30" t="b">
        <v>0</v>
      </c>
      <c r="U146" s="30" t="b">
        <v>0</v>
      </c>
    </row>
    <row r="147">
      <c r="H147" s="25">
        <f t="shared" si="1"/>
        <v>0</v>
      </c>
      <c r="N147" s="30" t="b">
        <v>0</v>
      </c>
      <c r="O147" s="30" t="b">
        <v>0</v>
      </c>
      <c r="P147" s="30" t="b">
        <v>0</v>
      </c>
      <c r="Q147" s="30" t="b">
        <v>0</v>
      </c>
      <c r="R147" s="30" t="b">
        <v>0</v>
      </c>
      <c r="S147" s="30" t="b">
        <v>0</v>
      </c>
      <c r="T147" s="30" t="b">
        <v>0</v>
      </c>
      <c r="U147" s="30" t="b">
        <v>0</v>
      </c>
    </row>
    <row r="148">
      <c r="H148" s="25">
        <f t="shared" si="1"/>
        <v>0</v>
      </c>
      <c r="N148" s="30" t="b">
        <v>0</v>
      </c>
      <c r="O148" s="30" t="b">
        <v>0</v>
      </c>
      <c r="P148" s="30" t="b">
        <v>0</v>
      </c>
      <c r="Q148" s="30" t="b">
        <v>0</v>
      </c>
      <c r="R148" s="30" t="b">
        <v>0</v>
      </c>
      <c r="S148" s="30" t="b">
        <v>0</v>
      </c>
      <c r="T148" s="30" t="b">
        <v>0</v>
      </c>
      <c r="U148" s="30" t="b">
        <v>0</v>
      </c>
    </row>
    <row r="149">
      <c r="H149" s="25">
        <f t="shared" si="1"/>
        <v>0</v>
      </c>
      <c r="N149" s="30" t="b">
        <v>0</v>
      </c>
      <c r="O149" s="30" t="b">
        <v>0</v>
      </c>
      <c r="P149" s="30" t="b">
        <v>0</v>
      </c>
      <c r="Q149" s="30" t="b">
        <v>0</v>
      </c>
      <c r="R149" s="30" t="b">
        <v>0</v>
      </c>
      <c r="S149" s="30" t="b">
        <v>0</v>
      </c>
      <c r="T149" s="30" t="b">
        <v>0</v>
      </c>
      <c r="U149" s="30" t="b">
        <v>0</v>
      </c>
    </row>
    <row r="150">
      <c r="H150" s="25">
        <f t="shared" si="1"/>
        <v>0</v>
      </c>
      <c r="N150" s="30" t="b">
        <v>0</v>
      </c>
      <c r="O150" s="30" t="b">
        <v>0</v>
      </c>
      <c r="P150" s="30" t="b">
        <v>0</v>
      </c>
      <c r="Q150" s="30" t="b">
        <v>0</v>
      </c>
      <c r="R150" s="30" t="b">
        <v>0</v>
      </c>
      <c r="S150" s="30" t="b">
        <v>0</v>
      </c>
      <c r="T150" s="30" t="b">
        <v>0</v>
      </c>
      <c r="U150" s="30" t="b">
        <v>0</v>
      </c>
    </row>
    <row r="151">
      <c r="H151" s="25">
        <f t="shared" si="1"/>
        <v>0</v>
      </c>
      <c r="N151" s="30" t="b">
        <v>0</v>
      </c>
      <c r="O151" s="30" t="b">
        <v>0</v>
      </c>
      <c r="P151" s="30" t="b">
        <v>0</v>
      </c>
      <c r="Q151" s="30" t="b">
        <v>0</v>
      </c>
      <c r="R151" s="30" t="b">
        <v>0</v>
      </c>
      <c r="S151" s="30" t="b">
        <v>0</v>
      </c>
      <c r="T151" s="30" t="b">
        <v>0</v>
      </c>
      <c r="U151" s="30" t="b">
        <v>0</v>
      </c>
    </row>
    <row r="152">
      <c r="H152" s="25">
        <f t="shared" si="1"/>
        <v>0</v>
      </c>
      <c r="N152" s="30" t="b">
        <v>0</v>
      </c>
      <c r="O152" s="30" t="b">
        <v>0</v>
      </c>
      <c r="P152" s="30" t="b">
        <v>0</v>
      </c>
      <c r="Q152" s="30" t="b">
        <v>0</v>
      </c>
      <c r="R152" s="30" t="b">
        <v>0</v>
      </c>
      <c r="S152" s="30" t="b">
        <v>0</v>
      </c>
      <c r="T152" s="30" t="b">
        <v>0</v>
      </c>
      <c r="U152" s="30" t="b">
        <v>0</v>
      </c>
    </row>
    <row r="153">
      <c r="H153" s="25">
        <f t="shared" si="1"/>
        <v>0</v>
      </c>
      <c r="N153" s="30" t="b">
        <v>0</v>
      </c>
      <c r="O153" s="30" t="b">
        <v>0</v>
      </c>
      <c r="P153" s="30" t="b">
        <v>0</v>
      </c>
      <c r="Q153" s="30" t="b">
        <v>0</v>
      </c>
      <c r="R153" s="30" t="b">
        <v>0</v>
      </c>
      <c r="S153" s="30" t="b">
        <v>0</v>
      </c>
      <c r="T153" s="30" t="b">
        <v>0</v>
      </c>
      <c r="U153" s="30" t="b">
        <v>0</v>
      </c>
    </row>
    <row r="154">
      <c r="H154" s="25">
        <f t="shared" si="1"/>
        <v>0</v>
      </c>
      <c r="N154" s="30" t="b">
        <v>0</v>
      </c>
      <c r="O154" s="30" t="b">
        <v>0</v>
      </c>
      <c r="P154" s="30" t="b">
        <v>0</v>
      </c>
      <c r="Q154" s="30" t="b">
        <v>0</v>
      </c>
      <c r="R154" s="30" t="b">
        <v>0</v>
      </c>
      <c r="S154" s="30" t="b">
        <v>0</v>
      </c>
      <c r="T154" s="30" t="b">
        <v>0</v>
      </c>
      <c r="U154" s="30" t="b">
        <v>0</v>
      </c>
    </row>
    <row r="155">
      <c r="H155" s="25">
        <f t="shared" si="1"/>
        <v>0</v>
      </c>
      <c r="N155" s="30" t="b">
        <v>0</v>
      </c>
      <c r="O155" s="30" t="b">
        <v>0</v>
      </c>
      <c r="P155" s="30" t="b">
        <v>0</v>
      </c>
      <c r="Q155" s="30" t="b">
        <v>0</v>
      </c>
      <c r="R155" s="30" t="b">
        <v>0</v>
      </c>
      <c r="S155" s="30" t="b">
        <v>0</v>
      </c>
      <c r="T155" s="30" t="b">
        <v>0</v>
      </c>
      <c r="U155" s="30" t="b">
        <v>0</v>
      </c>
    </row>
    <row r="156">
      <c r="H156" s="25">
        <f t="shared" si="1"/>
        <v>0</v>
      </c>
      <c r="N156" s="30" t="b">
        <v>0</v>
      </c>
      <c r="O156" s="30" t="b">
        <v>0</v>
      </c>
      <c r="P156" s="30" t="b">
        <v>0</v>
      </c>
      <c r="Q156" s="30" t="b">
        <v>0</v>
      </c>
      <c r="R156" s="30" t="b">
        <v>0</v>
      </c>
      <c r="S156" s="30" t="b">
        <v>0</v>
      </c>
      <c r="T156" s="30" t="b">
        <v>0</v>
      </c>
      <c r="U156" s="30" t="b">
        <v>0</v>
      </c>
    </row>
    <row r="157">
      <c r="H157" s="25">
        <f t="shared" si="1"/>
        <v>0</v>
      </c>
      <c r="N157" s="30" t="b">
        <v>0</v>
      </c>
      <c r="O157" s="30" t="b">
        <v>0</v>
      </c>
      <c r="P157" s="30" t="b">
        <v>0</v>
      </c>
      <c r="Q157" s="30" t="b">
        <v>0</v>
      </c>
      <c r="R157" s="30" t="b">
        <v>0</v>
      </c>
      <c r="S157" s="30" t="b">
        <v>0</v>
      </c>
      <c r="T157" s="30" t="b">
        <v>0</v>
      </c>
      <c r="U157" s="30" t="b">
        <v>0</v>
      </c>
    </row>
    <row r="158">
      <c r="H158" s="25">
        <f t="shared" si="1"/>
        <v>0</v>
      </c>
      <c r="N158" s="30" t="b">
        <v>0</v>
      </c>
      <c r="O158" s="30" t="b">
        <v>0</v>
      </c>
      <c r="P158" s="30" t="b">
        <v>0</v>
      </c>
      <c r="Q158" s="30" t="b">
        <v>0</v>
      </c>
      <c r="R158" s="30" t="b">
        <v>0</v>
      </c>
      <c r="S158" s="30" t="b">
        <v>0</v>
      </c>
      <c r="T158" s="30" t="b">
        <v>0</v>
      </c>
      <c r="U158" s="30" t="b">
        <v>0</v>
      </c>
    </row>
    <row r="159">
      <c r="H159" s="25">
        <f t="shared" si="1"/>
        <v>0</v>
      </c>
      <c r="N159" s="30" t="b">
        <v>0</v>
      </c>
      <c r="O159" s="30" t="b">
        <v>0</v>
      </c>
      <c r="P159" s="30" t="b">
        <v>0</v>
      </c>
      <c r="Q159" s="30" t="b">
        <v>0</v>
      </c>
      <c r="R159" s="30" t="b">
        <v>0</v>
      </c>
      <c r="S159" s="30" t="b">
        <v>0</v>
      </c>
      <c r="T159" s="30" t="b">
        <v>0</v>
      </c>
      <c r="U159" s="30" t="b">
        <v>0</v>
      </c>
    </row>
    <row r="160">
      <c r="H160" s="25">
        <f t="shared" si="1"/>
        <v>0</v>
      </c>
      <c r="N160" s="30" t="b">
        <v>0</v>
      </c>
      <c r="O160" s="30" t="b">
        <v>0</v>
      </c>
      <c r="P160" s="30" t="b">
        <v>0</v>
      </c>
      <c r="Q160" s="30" t="b">
        <v>0</v>
      </c>
      <c r="R160" s="30" t="b">
        <v>0</v>
      </c>
      <c r="S160" s="30" t="b">
        <v>0</v>
      </c>
      <c r="T160" s="30" t="b">
        <v>0</v>
      </c>
      <c r="U160" s="30" t="b">
        <v>0</v>
      </c>
    </row>
    <row r="161">
      <c r="H161" s="25">
        <f t="shared" si="1"/>
        <v>0</v>
      </c>
      <c r="N161" s="30" t="b">
        <v>0</v>
      </c>
      <c r="O161" s="30" t="b">
        <v>0</v>
      </c>
      <c r="P161" s="30" t="b">
        <v>0</v>
      </c>
      <c r="Q161" s="30" t="b">
        <v>0</v>
      </c>
      <c r="R161" s="30" t="b">
        <v>0</v>
      </c>
      <c r="S161" s="30" t="b">
        <v>0</v>
      </c>
      <c r="T161" s="30" t="b">
        <v>0</v>
      </c>
      <c r="U161" s="30" t="b">
        <v>0</v>
      </c>
    </row>
    <row r="162">
      <c r="H162" s="25">
        <f t="shared" si="1"/>
        <v>0</v>
      </c>
      <c r="N162" s="30" t="b">
        <v>0</v>
      </c>
      <c r="O162" s="30" t="b">
        <v>0</v>
      </c>
      <c r="P162" s="30" t="b">
        <v>0</v>
      </c>
      <c r="Q162" s="30" t="b">
        <v>0</v>
      </c>
      <c r="R162" s="30" t="b">
        <v>0</v>
      </c>
      <c r="S162" s="30" t="b">
        <v>0</v>
      </c>
      <c r="T162" s="30" t="b">
        <v>0</v>
      </c>
      <c r="U162" s="30" t="b">
        <v>0</v>
      </c>
    </row>
    <row r="163">
      <c r="H163" s="25">
        <f t="shared" si="1"/>
        <v>0</v>
      </c>
      <c r="N163" s="30" t="b">
        <v>0</v>
      </c>
      <c r="O163" s="30" t="b">
        <v>0</v>
      </c>
      <c r="P163" s="30" t="b">
        <v>0</v>
      </c>
      <c r="Q163" s="30" t="b">
        <v>0</v>
      </c>
      <c r="R163" s="30" t="b">
        <v>0</v>
      </c>
      <c r="S163" s="30" t="b">
        <v>0</v>
      </c>
      <c r="T163" s="30" t="b">
        <v>0</v>
      </c>
      <c r="U163" s="30" t="b">
        <v>0</v>
      </c>
    </row>
    <row r="164">
      <c r="H164" s="25">
        <f t="shared" si="1"/>
        <v>0</v>
      </c>
      <c r="N164" s="30" t="b">
        <v>0</v>
      </c>
      <c r="O164" s="30" t="b">
        <v>0</v>
      </c>
      <c r="P164" s="30" t="b">
        <v>0</v>
      </c>
      <c r="Q164" s="30" t="b">
        <v>0</v>
      </c>
      <c r="R164" s="30" t="b">
        <v>0</v>
      </c>
      <c r="S164" s="30" t="b">
        <v>0</v>
      </c>
      <c r="T164" s="30" t="b">
        <v>0</v>
      </c>
      <c r="U164" s="30" t="b">
        <v>0</v>
      </c>
    </row>
    <row r="165">
      <c r="H165" s="25">
        <f t="shared" si="1"/>
        <v>0</v>
      </c>
      <c r="N165" s="30" t="b">
        <v>0</v>
      </c>
      <c r="O165" s="30" t="b">
        <v>0</v>
      </c>
      <c r="P165" s="30" t="b">
        <v>0</v>
      </c>
      <c r="Q165" s="30" t="b">
        <v>0</v>
      </c>
      <c r="R165" s="30" t="b">
        <v>0</v>
      </c>
      <c r="S165" s="30" t="b">
        <v>0</v>
      </c>
      <c r="T165" s="30" t="b">
        <v>0</v>
      </c>
      <c r="U165" s="30" t="b">
        <v>0</v>
      </c>
    </row>
    <row r="166">
      <c r="H166" s="25">
        <f t="shared" si="1"/>
        <v>0</v>
      </c>
      <c r="N166" s="30" t="b">
        <v>0</v>
      </c>
      <c r="O166" s="30" t="b">
        <v>0</v>
      </c>
      <c r="P166" s="30" t="b">
        <v>0</v>
      </c>
      <c r="Q166" s="30" t="b">
        <v>0</v>
      </c>
      <c r="R166" s="30" t="b">
        <v>0</v>
      </c>
      <c r="S166" s="30" t="b">
        <v>0</v>
      </c>
      <c r="T166" s="30" t="b">
        <v>0</v>
      </c>
      <c r="U166" s="30" t="b">
        <v>0</v>
      </c>
    </row>
    <row r="167">
      <c r="H167" s="25">
        <f t="shared" si="1"/>
        <v>0</v>
      </c>
      <c r="N167" s="30" t="b">
        <v>0</v>
      </c>
      <c r="O167" s="30" t="b">
        <v>0</v>
      </c>
      <c r="P167" s="30" t="b">
        <v>0</v>
      </c>
      <c r="Q167" s="30" t="b">
        <v>0</v>
      </c>
      <c r="R167" s="30" t="b">
        <v>0</v>
      </c>
      <c r="S167" s="30" t="b">
        <v>0</v>
      </c>
      <c r="T167" s="30" t="b">
        <v>0</v>
      </c>
      <c r="U167" s="30" t="b">
        <v>0</v>
      </c>
    </row>
    <row r="168">
      <c r="H168" s="25">
        <f t="shared" si="1"/>
        <v>0</v>
      </c>
      <c r="N168" s="30" t="b">
        <v>0</v>
      </c>
      <c r="O168" s="30" t="b">
        <v>0</v>
      </c>
      <c r="P168" s="30" t="b">
        <v>0</v>
      </c>
      <c r="Q168" s="30" t="b">
        <v>0</v>
      </c>
      <c r="R168" s="30" t="b">
        <v>0</v>
      </c>
      <c r="S168" s="30" t="b">
        <v>0</v>
      </c>
      <c r="T168" s="30" t="b">
        <v>0</v>
      </c>
      <c r="U168" s="30" t="b">
        <v>0</v>
      </c>
    </row>
    <row r="169">
      <c r="H169" s="25">
        <f t="shared" si="1"/>
        <v>0</v>
      </c>
      <c r="N169" s="30" t="b">
        <v>0</v>
      </c>
      <c r="O169" s="30" t="b">
        <v>0</v>
      </c>
      <c r="P169" s="30" t="b">
        <v>0</v>
      </c>
      <c r="Q169" s="30" t="b">
        <v>0</v>
      </c>
      <c r="R169" s="30" t="b">
        <v>0</v>
      </c>
      <c r="S169" s="30" t="b">
        <v>0</v>
      </c>
      <c r="T169" s="30" t="b">
        <v>0</v>
      </c>
      <c r="U169" s="30" t="b">
        <v>0</v>
      </c>
    </row>
    <row r="170">
      <c r="H170" s="25">
        <f t="shared" si="1"/>
        <v>0</v>
      </c>
      <c r="N170" s="30" t="b">
        <v>0</v>
      </c>
      <c r="O170" s="30" t="b">
        <v>0</v>
      </c>
      <c r="P170" s="30" t="b">
        <v>0</v>
      </c>
      <c r="Q170" s="30" t="b">
        <v>0</v>
      </c>
      <c r="R170" s="30" t="b">
        <v>0</v>
      </c>
      <c r="S170" s="30" t="b">
        <v>0</v>
      </c>
      <c r="T170" s="30" t="b">
        <v>0</v>
      </c>
      <c r="U170" s="30" t="b">
        <v>0</v>
      </c>
    </row>
    <row r="171">
      <c r="H171" s="36"/>
    </row>
    <row r="172">
      <c r="H172" s="36"/>
    </row>
    <row r="173">
      <c r="H173" s="36"/>
    </row>
    <row r="174">
      <c r="H174" s="36"/>
    </row>
    <row r="175">
      <c r="H175" s="36"/>
    </row>
    <row r="176">
      <c r="H176" s="36"/>
    </row>
    <row r="177">
      <c r="H177" s="36"/>
    </row>
    <row r="178">
      <c r="H178" s="36"/>
    </row>
    <row r="179">
      <c r="H179" s="36"/>
    </row>
    <row r="180">
      <c r="H180" s="36"/>
    </row>
    <row r="181">
      <c r="H181" s="36"/>
    </row>
    <row r="182">
      <c r="H182" s="36"/>
    </row>
    <row r="183">
      <c r="H183" s="36"/>
    </row>
    <row r="184">
      <c r="H184" s="36"/>
    </row>
    <row r="185">
      <c r="H185" s="36"/>
    </row>
    <row r="186">
      <c r="H186" s="36"/>
    </row>
    <row r="187">
      <c r="H187" s="36"/>
    </row>
    <row r="188">
      <c r="H188" s="36"/>
    </row>
    <row r="189">
      <c r="H189" s="36"/>
    </row>
    <row r="190">
      <c r="H190" s="36"/>
    </row>
    <row r="191">
      <c r="H191" s="36"/>
    </row>
    <row r="192">
      <c r="H192" s="36"/>
    </row>
    <row r="193">
      <c r="H193" s="36"/>
    </row>
    <row r="194">
      <c r="H194" s="36"/>
    </row>
    <row r="195">
      <c r="H195" s="36"/>
    </row>
    <row r="196">
      <c r="H196" s="36"/>
    </row>
    <row r="197">
      <c r="H197" s="36"/>
    </row>
    <row r="198">
      <c r="H198" s="36"/>
    </row>
    <row r="199">
      <c r="H199" s="36"/>
    </row>
    <row r="200">
      <c r="H200" s="36"/>
    </row>
    <row r="201">
      <c r="H201" s="36"/>
    </row>
    <row r="202">
      <c r="H202" s="36"/>
    </row>
    <row r="203">
      <c r="H203" s="36"/>
    </row>
    <row r="204">
      <c r="H204" s="36"/>
    </row>
    <row r="205">
      <c r="H205" s="36"/>
    </row>
    <row r="206">
      <c r="H206" s="36"/>
    </row>
    <row r="207">
      <c r="H207" s="36"/>
    </row>
    <row r="208">
      <c r="H208" s="36"/>
    </row>
    <row r="209">
      <c r="H209" s="36"/>
    </row>
    <row r="210">
      <c r="H210" s="36"/>
    </row>
    <row r="211">
      <c r="H211" s="36"/>
    </row>
    <row r="212">
      <c r="H212" s="36"/>
    </row>
    <row r="213">
      <c r="H213" s="36"/>
    </row>
    <row r="214">
      <c r="H214" s="36"/>
    </row>
    <row r="215">
      <c r="H215" s="36"/>
    </row>
    <row r="216">
      <c r="H216" s="36"/>
    </row>
    <row r="217">
      <c r="H217" s="36"/>
    </row>
    <row r="218">
      <c r="H218" s="36"/>
    </row>
    <row r="219">
      <c r="H219" s="36"/>
    </row>
    <row r="220">
      <c r="H220" s="36"/>
    </row>
    <row r="221">
      <c r="H221" s="36"/>
    </row>
    <row r="222">
      <c r="H222" s="36"/>
    </row>
    <row r="223">
      <c r="H223" s="36"/>
    </row>
    <row r="224">
      <c r="H224" s="36"/>
    </row>
    <row r="225">
      <c r="H225" s="36"/>
    </row>
    <row r="226">
      <c r="H226" s="36"/>
    </row>
    <row r="227">
      <c r="H227" s="36"/>
    </row>
    <row r="228">
      <c r="H228" s="36"/>
    </row>
    <row r="229">
      <c r="H229" s="36"/>
    </row>
    <row r="230">
      <c r="H230" s="36"/>
    </row>
    <row r="231">
      <c r="H231" s="36"/>
    </row>
    <row r="232">
      <c r="H232" s="36"/>
    </row>
    <row r="233">
      <c r="H233" s="36"/>
    </row>
    <row r="234">
      <c r="H234" s="36"/>
    </row>
    <row r="235">
      <c r="H235" s="36"/>
    </row>
    <row r="236">
      <c r="H236" s="36"/>
    </row>
    <row r="237">
      <c r="H237" s="36"/>
    </row>
    <row r="238">
      <c r="H238" s="36"/>
    </row>
    <row r="239">
      <c r="H239" s="36"/>
    </row>
    <row r="240">
      <c r="H240" s="36"/>
    </row>
    <row r="241">
      <c r="H241" s="36"/>
    </row>
    <row r="242">
      <c r="H242" s="36"/>
    </row>
    <row r="243">
      <c r="H243" s="36"/>
    </row>
    <row r="244">
      <c r="H244" s="36"/>
    </row>
    <row r="245">
      <c r="H245" s="36"/>
    </row>
    <row r="246">
      <c r="H246" s="36"/>
    </row>
    <row r="247">
      <c r="H247" s="36"/>
    </row>
    <row r="248">
      <c r="H248" s="36"/>
    </row>
    <row r="249">
      <c r="H249" s="36"/>
    </row>
    <row r="250">
      <c r="H250" s="36"/>
    </row>
    <row r="251">
      <c r="H251" s="36"/>
    </row>
    <row r="252">
      <c r="H252" s="36"/>
    </row>
    <row r="253">
      <c r="H253" s="36"/>
    </row>
    <row r="254">
      <c r="H254" s="36"/>
    </row>
    <row r="255">
      <c r="H255" s="36"/>
    </row>
    <row r="256">
      <c r="H256" s="36"/>
    </row>
    <row r="257">
      <c r="H257" s="36"/>
    </row>
    <row r="258">
      <c r="H258" s="36"/>
    </row>
    <row r="259">
      <c r="H259" s="36"/>
    </row>
    <row r="260">
      <c r="H260" s="36"/>
    </row>
    <row r="261">
      <c r="H261" s="36"/>
    </row>
    <row r="262">
      <c r="H262" s="36"/>
    </row>
    <row r="263">
      <c r="H263" s="36"/>
    </row>
    <row r="264">
      <c r="H264" s="36"/>
    </row>
    <row r="265">
      <c r="H265" s="36"/>
    </row>
    <row r="266">
      <c r="H266" s="36"/>
    </row>
    <row r="267">
      <c r="H267" s="36"/>
    </row>
    <row r="268">
      <c r="H268" s="36"/>
    </row>
    <row r="269">
      <c r="H269" s="36"/>
    </row>
    <row r="270">
      <c r="H270" s="36"/>
    </row>
    <row r="271">
      <c r="H271" s="36"/>
    </row>
    <row r="272">
      <c r="H272" s="36"/>
    </row>
    <row r="273">
      <c r="H273" s="36"/>
    </row>
    <row r="274">
      <c r="H274" s="36"/>
    </row>
    <row r="275">
      <c r="H275" s="36"/>
    </row>
    <row r="276">
      <c r="H276" s="36"/>
    </row>
    <row r="277">
      <c r="H277" s="36"/>
    </row>
    <row r="278">
      <c r="H278" s="36"/>
    </row>
    <row r="279">
      <c r="H279" s="36"/>
    </row>
    <row r="280">
      <c r="H280" s="36"/>
    </row>
    <row r="281">
      <c r="H281" s="36"/>
    </row>
    <row r="282">
      <c r="H282" s="36"/>
    </row>
    <row r="283">
      <c r="H283" s="36"/>
    </row>
    <row r="284">
      <c r="H284" s="36"/>
    </row>
    <row r="285">
      <c r="H285" s="36"/>
    </row>
    <row r="286">
      <c r="H286" s="36"/>
    </row>
    <row r="287">
      <c r="H287" s="36"/>
    </row>
    <row r="288">
      <c r="H288" s="36"/>
    </row>
    <row r="289">
      <c r="H289" s="36"/>
    </row>
    <row r="290">
      <c r="H290" s="36"/>
    </row>
    <row r="291">
      <c r="H291" s="36"/>
    </row>
    <row r="292">
      <c r="H292" s="36"/>
    </row>
    <row r="293">
      <c r="H293" s="36"/>
    </row>
    <row r="294">
      <c r="H294" s="36"/>
    </row>
    <row r="295">
      <c r="H295" s="36"/>
    </row>
    <row r="296">
      <c r="H296" s="36"/>
    </row>
    <row r="297">
      <c r="H297" s="36"/>
    </row>
    <row r="298">
      <c r="H298" s="36"/>
    </row>
    <row r="299">
      <c r="H299" s="36"/>
    </row>
    <row r="300">
      <c r="H300" s="36"/>
    </row>
    <row r="301">
      <c r="H301" s="36"/>
    </row>
    <row r="302">
      <c r="H302" s="36"/>
    </row>
    <row r="303">
      <c r="H303" s="36"/>
    </row>
    <row r="304">
      <c r="H304" s="36"/>
    </row>
    <row r="305">
      <c r="H305" s="36"/>
    </row>
    <row r="306">
      <c r="H306" s="36"/>
    </row>
    <row r="307">
      <c r="H307" s="36"/>
    </row>
    <row r="308">
      <c r="H308" s="36"/>
    </row>
    <row r="309">
      <c r="H309" s="36"/>
    </row>
    <row r="310">
      <c r="H310" s="36"/>
    </row>
    <row r="311">
      <c r="H311" s="36"/>
    </row>
    <row r="312">
      <c r="H312" s="36"/>
    </row>
    <row r="313">
      <c r="H313" s="36"/>
    </row>
    <row r="314">
      <c r="H314" s="36"/>
    </row>
    <row r="315">
      <c r="H315" s="36"/>
    </row>
    <row r="316">
      <c r="H316" s="36"/>
    </row>
    <row r="317">
      <c r="H317" s="36"/>
    </row>
    <row r="318">
      <c r="H318" s="36"/>
    </row>
    <row r="319">
      <c r="H319" s="36"/>
    </row>
    <row r="320">
      <c r="H320" s="36"/>
    </row>
    <row r="321">
      <c r="H321" s="36"/>
    </row>
    <row r="322">
      <c r="H322" s="36"/>
    </row>
    <row r="323">
      <c r="H323" s="36"/>
    </row>
    <row r="324">
      <c r="H324" s="36"/>
    </row>
    <row r="325">
      <c r="H325" s="36"/>
    </row>
    <row r="326">
      <c r="H326" s="36"/>
    </row>
    <row r="327">
      <c r="H327" s="36"/>
    </row>
    <row r="328">
      <c r="H328" s="36"/>
    </row>
    <row r="329">
      <c r="H329" s="36"/>
    </row>
    <row r="330">
      <c r="H330" s="36"/>
    </row>
    <row r="331">
      <c r="H331" s="36"/>
    </row>
    <row r="332">
      <c r="H332" s="36"/>
    </row>
    <row r="333">
      <c r="H333" s="36"/>
    </row>
    <row r="334">
      <c r="H334" s="36"/>
    </row>
    <row r="335">
      <c r="H335" s="36"/>
    </row>
    <row r="336">
      <c r="H336" s="36"/>
    </row>
    <row r="337">
      <c r="H337" s="36"/>
    </row>
    <row r="338">
      <c r="H338" s="36"/>
    </row>
    <row r="339">
      <c r="H339" s="36"/>
    </row>
    <row r="340">
      <c r="H340" s="36"/>
    </row>
    <row r="341">
      <c r="H341" s="36"/>
    </row>
    <row r="342">
      <c r="H342" s="36"/>
    </row>
    <row r="343">
      <c r="H343" s="36"/>
    </row>
    <row r="344">
      <c r="H344" s="36"/>
    </row>
    <row r="345">
      <c r="H345" s="36"/>
    </row>
    <row r="346">
      <c r="H346" s="36"/>
    </row>
    <row r="347">
      <c r="H347" s="36"/>
    </row>
    <row r="348">
      <c r="H348" s="36"/>
    </row>
    <row r="349">
      <c r="H349" s="36"/>
    </row>
    <row r="350">
      <c r="H350" s="36"/>
    </row>
    <row r="351">
      <c r="H351" s="36"/>
    </row>
    <row r="352">
      <c r="H352" s="36"/>
    </row>
    <row r="353">
      <c r="H353" s="36"/>
    </row>
    <row r="354">
      <c r="H354" s="36"/>
    </row>
    <row r="355">
      <c r="H355" s="36"/>
    </row>
    <row r="356">
      <c r="H356" s="36"/>
    </row>
    <row r="357">
      <c r="H357" s="36"/>
    </row>
    <row r="358">
      <c r="H358" s="36"/>
    </row>
    <row r="359">
      <c r="H359" s="36"/>
    </row>
    <row r="360">
      <c r="H360" s="36"/>
    </row>
    <row r="361">
      <c r="H361" s="36"/>
    </row>
    <row r="362">
      <c r="H362" s="36"/>
    </row>
    <row r="363">
      <c r="H363" s="36"/>
    </row>
    <row r="364">
      <c r="H364" s="36"/>
    </row>
    <row r="365">
      <c r="H365" s="36"/>
    </row>
    <row r="366">
      <c r="H366" s="36"/>
    </row>
    <row r="367">
      <c r="H367" s="36"/>
    </row>
    <row r="368">
      <c r="H368" s="36"/>
    </row>
    <row r="369">
      <c r="H369" s="36"/>
    </row>
    <row r="370">
      <c r="H370" s="36"/>
    </row>
    <row r="371">
      <c r="H371" s="36"/>
    </row>
    <row r="372">
      <c r="H372" s="36"/>
    </row>
    <row r="373">
      <c r="H373" s="36"/>
    </row>
    <row r="374">
      <c r="H374" s="36"/>
    </row>
    <row r="375">
      <c r="H375" s="36"/>
    </row>
    <row r="376">
      <c r="H376" s="36"/>
    </row>
    <row r="377">
      <c r="H377" s="36"/>
    </row>
    <row r="378">
      <c r="H378" s="36"/>
    </row>
    <row r="379">
      <c r="H379" s="36"/>
    </row>
    <row r="380">
      <c r="H380" s="36"/>
    </row>
    <row r="381">
      <c r="H381" s="36"/>
    </row>
    <row r="382">
      <c r="H382" s="36"/>
    </row>
    <row r="383">
      <c r="H383" s="36"/>
    </row>
    <row r="384">
      <c r="H384" s="36"/>
    </row>
    <row r="385">
      <c r="H385" s="36"/>
    </row>
    <row r="386">
      <c r="H386" s="36"/>
    </row>
    <row r="387">
      <c r="H387" s="36"/>
    </row>
    <row r="388">
      <c r="H388" s="36"/>
    </row>
    <row r="389">
      <c r="H389" s="36"/>
    </row>
    <row r="390">
      <c r="H390" s="36"/>
    </row>
    <row r="391">
      <c r="H391" s="36"/>
    </row>
    <row r="392">
      <c r="H392" s="36"/>
    </row>
    <row r="393">
      <c r="H393" s="36"/>
    </row>
    <row r="394">
      <c r="H394" s="36"/>
    </row>
    <row r="395">
      <c r="H395" s="36"/>
    </row>
    <row r="396">
      <c r="H396" s="36"/>
    </row>
    <row r="397">
      <c r="H397" s="36"/>
    </row>
    <row r="398">
      <c r="H398" s="36"/>
    </row>
    <row r="399">
      <c r="H399" s="36"/>
    </row>
    <row r="400">
      <c r="H400" s="36"/>
    </row>
    <row r="401">
      <c r="H401" s="36"/>
    </row>
    <row r="402">
      <c r="H402" s="36"/>
    </row>
    <row r="403">
      <c r="H403" s="36"/>
    </row>
    <row r="404">
      <c r="H404" s="36"/>
    </row>
    <row r="405">
      <c r="H405" s="36"/>
    </row>
    <row r="406">
      <c r="H406" s="36"/>
    </row>
    <row r="407">
      <c r="H407" s="36"/>
    </row>
    <row r="408">
      <c r="H408" s="36"/>
    </row>
    <row r="409">
      <c r="H409" s="36"/>
    </row>
    <row r="410">
      <c r="H410" s="36"/>
    </row>
    <row r="411">
      <c r="H411" s="36"/>
    </row>
    <row r="412">
      <c r="H412" s="36"/>
    </row>
    <row r="413">
      <c r="H413" s="36"/>
    </row>
    <row r="414">
      <c r="H414" s="36"/>
    </row>
    <row r="415">
      <c r="H415" s="36"/>
    </row>
    <row r="416">
      <c r="H416" s="36"/>
    </row>
    <row r="417">
      <c r="H417" s="36"/>
    </row>
    <row r="418">
      <c r="H418" s="36"/>
    </row>
    <row r="419">
      <c r="H419" s="36"/>
    </row>
    <row r="420">
      <c r="H420" s="36"/>
    </row>
    <row r="421">
      <c r="H421" s="36"/>
    </row>
    <row r="422">
      <c r="H422" s="36"/>
    </row>
    <row r="423">
      <c r="H423" s="36"/>
    </row>
    <row r="424">
      <c r="H424" s="36"/>
    </row>
    <row r="425">
      <c r="H425" s="36"/>
    </row>
    <row r="426">
      <c r="H426" s="36"/>
    </row>
    <row r="427">
      <c r="H427" s="36"/>
    </row>
    <row r="428">
      <c r="H428" s="36"/>
    </row>
    <row r="429">
      <c r="H429" s="36"/>
    </row>
    <row r="430">
      <c r="H430" s="36"/>
    </row>
    <row r="431">
      <c r="H431" s="36"/>
    </row>
    <row r="432">
      <c r="H432" s="36"/>
    </row>
    <row r="433">
      <c r="H433" s="36"/>
    </row>
    <row r="434">
      <c r="H434" s="36"/>
    </row>
    <row r="435">
      <c r="H435" s="36"/>
    </row>
    <row r="436">
      <c r="H436" s="36"/>
    </row>
    <row r="437">
      <c r="H437" s="36"/>
    </row>
    <row r="438">
      <c r="H438" s="36"/>
    </row>
    <row r="439">
      <c r="H439" s="36"/>
    </row>
    <row r="440">
      <c r="H440" s="36"/>
    </row>
    <row r="441">
      <c r="H441" s="36"/>
    </row>
    <row r="442">
      <c r="H442" s="36"/>
    </row>
    <row r="443">
      <c r="H443" s="36"/>
    </row>
    <row r="444">
      <c r="H444" s="36"/>
    </row>
    <row r="445">
      <c r="H445" s="36"/>
    </row>
    <row r="446">
      <c r="H446" s="36"/>
    </row>
    <row r="447">
      <c r="H447" s="36"/>
    </row>
    <row r="448">
      <c r="H448" s="36"/>
    </row>
    <row r="449">
      <c r="H449" s="36"/>
    </row>
    <row r="450">
      <c r="H450" s="36"/>
    </row>
    <row r="451">
      <c r="H451" s="36"/>
    </row>
    <row r="452">
      <c r="H452" s="36"/>
    </row>
    <row r="453">
      <c r="H453" s="36"/>
    </row>
    <row r="454">
      <c r="H454" s="36"/>
    </row>
    <row r="455">
      <c r="H455" s="36"/>
    </row>
    <row r="456">
      <c r="H456" s="36"/>
    </row>
    <row r="457">
      <c r="H457" s="36"/>
    </row>
    <row r="458">
      <c r="H458" s="36"/>
    </row>
    <row r="459">
      <c r="H459" s="36"/>
    </row>
    <row r="460">
      <c r="H460" s="36"/>
    </row>
    <row r="461">
      <c r="H461" s="36"/>
    </row>
    <row r="462">
      <c r="H462" s="36"/>
    </row>
    <row r="463">
      <c r="H463" s="36"/>
    </row>
    <row r="464">
      <c r="H464" s="36"/>
    </row>
    <row r="465">
      <c r="H465" s="36"/>
    </row>
    <row r="466">
      <c r="H466" s="36"/>
    </row>
    <row r="467">
      <c r="H467" s="36"/>
    </row>
    <row r="468">
      <c r="H468" s="36"/>
    </row>
    <row r="469">
      <c r="H469" s="36"/>
    </row>
    <row r="470">
      <c r="H470" s="36"/>
    </row>
    <row r="471">
      <c r="H471" s="36"/>
    </row>
    <row r="472">
      <c r="H472" s="36"/>
    </row>
    <row r="473">
      <c r="H473" s="36"/>
    </row>
    <row r="474">
      <c r="H474" s="36"/>
    </row>
    <row r="475">
      <c r="H475" s="36"/>
    </row>
    <row r="476">
      <c r="H476" s="36"/>
    </row>
    <row r="477">
      <c r="H477" s="36"/>
    </row>
    <row r="478">
      <c r="H478" s="36"/>
    </row>
    <row r="479">
      <c r="H479" s="36"/>
    </row>
    <row r="480">
      <c r="H480" s="36"/>
    </row>
    <row r="481">
      <c r="H481" s="36"/>
    </row>
    <row r="482">
      <c r="H482" s="36"/>
    </row>
    <row r="483">
      <c r="H483" s="36"/>
    </row>
    <row r="484">
      <c r="H484" s="36"/>
    </row>
    <row r="485">
      <c r="H485" s="36"/>
    </row>
    <row r="486">
      <c r="H486" s="36"/>
    </row>
    <row r="487">
      <c r="H487" s="36"/>
    </row>
    <row r="488">
      <c r="H488" s="36"/>
    </row>
    <row r="489">
      <c r="H489" s="36"/>
    </row>
    <row r="490">
      <c r="H490" s="36"/>
    </row>
    <row r="491">
      <c r="H491" s="36"/>
    </row>
    <row r="492">
      <c r="H492" s="36"/>
    </row>
    <row r="493">
      <c r="H493" s="36"/>
    </row>
    <row r="494">
      <c r="H494" s="36"/>
    </row>
    <row r="495">
      <c r="H495" s="36"/>
    </row>
    <row r="496">
      <c r="H496" s="36"/>
    </row>
    <row r="497">
      <c r="H497" s="36"/>
    </row>
    <row r="498">
      <c r="H498" s="36"/>
    </row>
    <row r="499">
      <c r="H499" s="36"/>
    </row>
    <row r="500">
      <c r="H500" s="36"/>
    </row>
    <row r="501">
      <c r="H501" s="36"/>
    </row>
    <row r="502">
      <c r="H502" s="36"/>
    </row>
    <row r="503">
      <c r="H503" s="36"/>
    </row>
    <row r="504">
      <c r="H504" s="36"/>
    </row>
    <row r="505">
      <c r="H505" s="36"/>
    </row>
    <row r="506">
      <c r="H506" s="36"/>
    </row>
    <row r="507">
      <c r="H507" s="36"/>
    </row>
    <row r="508">
      <c r="H508" s="36"/>
    </row>
    <row r="509">
      <c r="H509" s="36"/>
    </row>
    <row r="510">
      <c r="H510" s="36"/>
    </row>
    <row r="511">
      <c r="H511" s="36"/>
    </row>
    <row r="512">
      <c r="H512" s="36"/>
    </row>
    <row r="513">
      <c r="H513" s="36"/>
    </row>
    <row r="514">
      <c r="H514" s="36"/>
    </row>
    <row r="515">
      <c r="H515" s="36"/>
    </row>
    <row r="516">
      <c r="H516" s="36"/>
    </row>
    <row r="517">
      <c r="H517" s="36"/>
    </row>
    <row r="518">
      <c r="H518" s="36"/>
    </row>
    <row r="519">
      <c r="H519" s="36"/>
    </row>
    <row r="520">
      <c r="H520" s="36"/>
    </row>
    <row r="521">
      <c r="H521" s="36"/>
    </row>
    <row r="522">
      <c r="H522" s="36"/>
    </row>
    <row r="523">
      <c r="H523" s="36"/>
    </row>
    <row r="524">
      <c r="H524" s="36"/>
    </row>
    <row r="525">
      <c r="H525" s="36"/>
    </row>
    <row r="526">
      <c r="H526" s="36"/>
    </row>
    <row r="527">
      <c r="H527" s="36"/>
    </row>
    <row r="528">
      <c r="H528" s="36"/>
    </row>
    <row r="529">
      <c r="H529" s="36"/>
    </row>
    <row r="530">
      <c r="H530" s="36"/>
    </row>
    <row r="531">
      <c r="H531" s="36"/>
    </row>
    <row r="532">
      <c r="H532" s="36"/>
    </row>
    <row r="533">
      <c r="H533" s="36"/>
    </row>
    <row r="534">
      <c r="H534" s="36"/>
    </row>
    <row r="535">
      <c r="H535" s="36"/>
    </row>
    <row r="536">
      <c r="H536" s="36"/>
    </row>
    <row r="537">
      <c r="H537" s="36"/>
    </row>
    <row r="538">
      <c r="H538" s="36"/>
    </row>
    <row r="539">
      <c r="H539" s="36"/>
    </row>
    <row r="540">
      <c r="H540" s="36"/>
    </row>
    <row r="541">
      <c r="H541" s="36"/>
    </row>
    <row r="542">
      <c r="H542" s="36"/>
    </row>
    <row r="543">
      <c r="H543" s="36"/>
    </row>
    <row r="544">
      <c r="H544" s="36"/>
    </row>
    <row r="545">
      <c r="H545" s="36"/>
    </row>
    <row r="546">
      <c r="H546" s="36"/>
    </row>
    <row r="547">
      <c r="H547" s="36"/>
    </row>
    <row r="548">
      <c r="H548" s="36"/>
    </row>
    <row r="549">
      <c r="H549" s="36"/>
    </row>
    <row r="550">
      <c r="H550" s="36"/>
    </row>
    <row r="551">
      <c r="H551" s="36"/>
    </row>
    <row r="552">
      <c r="H552" s="36"/>
    </row>
    <row r="553">
      <c r="H553" s="36"/>
    </row>
    <row r="554">
      <c r="H554" s="36"/>
    </row>
    <row r="555">
      <c r="H555" s="36"/>
    </row>
    <row r="556">
      <c r="H556" s="36"/>
    </row>
    <row r="557">
      <c r="H557" s="36"/>
    </row>
    <row r="558">
      <c r="H558" s="36"/>
    </row>
    <row r="559">
      <c r="H559" s="36"/>
    </row>
    <row r="560">
      <c r="H560" s="36"/>
    </row>
    <row r="561">
      <c r="H561" s="36"/>
    </row>
    <row r="562">
      <c r="H562" s="36"/>
    </row>
    <row r="563">
      <c r="H563" s="36"/>
    </row>
    <row r="564">
      <c r="H564" s="36"/>
    </row>
    <row r="565">
      <c r="H565" s="36"/>
    </row>
    <row r="566">
      <c r="H566" s="36"/>
    </row>
    <row r="567">
      <c r="H567" s="36"/>
    </row>
    <row r="568">
      <c r="H568" s="36"/>
    </row>
    <row r="569">
      <c r="H569" s="36"/>
    </row>
    <row r="570">
      <c r="H570" s="36"/>
    </row>
    <row r="571">
      <c r="H571" s="36"/>
    </row>
    <row r="572">
      <c r="H572" s="36"/>
    </row>
    <row r="573">
      <c r="H573" s="36"/>
    </row>
    <row r="574">
      <c r="H574" s="36"/>
    </row>
    <row r="575">
      <c r="H575" s="36"/>
    </row>
    <row r="576">
      <c r="H576" s="36"/>
    </row>
    <row r="577">
      <c r="H577" s="36"/>
    </row>
    <row r="578">
      <c r="H578" s="36"/>
    </row>
    <row r="579">
      <c r="H579" s="36"/>
    </row>
    <row r="580">
      <c r="H580" s="36"/>
    </row>
    <row r="581">
      <c r="H581" s="36"/>
    </row>
    <row r="582">
      <c r="H582" s="36"/>
    </row>
    <row r="583">
      <c r="H583" s="36"/>
    </row>
    <row r="584">
      <c r="H584" s="36"/>
    </row>
    <row r="585">
      <c r="H585" s="36"/>
    </row>
    <row r="586">
      <c r="H586" s="36"/>
    </row>
    <row r="587">
      <c r="H587" s="36"/>
    </row>
    <row r="588">
      <c r="H588" s="36"/>
    </row>
    <row r="589">
      <c r="H589" s="36"/>
    </row>
    <row r="590">
      <c r="H590" s="36"/>
    </row>
    <row r="591">
      <c r="H591" s="36"/>
    </row>
    <row r="592">
      <c r="H592" s="36"/>
    </row>
    <row r="593">
      <c r="H593" s="36"/>
    </row>
    <row r="594">
      <c r="H594" s="36"/>
    </row>
    <row r="595">
      <c r="H595" s="36"/>
    </row>
    <row r="596">
      <c r="H596" s="36"/>
    </row>
    <row r="597">
      <c r="H597" s="36"/>
    </row>
    <row r="598">
      <c r="H598" s="36"/>
    </row>
    <row r="599">
      <c r="H599" s="36"/>
    </row>
    <row r="600">
      <c r="H600" s="36"/>
    </row>
    <row r="601">
      <c r="H601" s="36"/>
    </row>
    <row r="602">
      <c r="H602" s="36"/>
    </row>
    <row r="603">
      <c r="H603" s="36"/>
    </row>
    <row r="604">
      <c r="H604" s="36"/>
    </row>
    <row r="605">
      <c r="H605" s="36"/>
    </row>
    <row r="606">
      <c r="H606" s="36"/>
    </row>
    <row r="607">
      <c r="H607" s="36"/>
    </row>
    <row r="608">
      <c r="H608" s="36"/>
    </row>
    <row r="609">
      <c r="H609" s="36"/>
    </row>
    <row r="610">
      <c r="H610" s="36"/>
    </row>
    <row r="611">
      <c r="H611" s="36"/>
    </row>
    <row r="612">
      <c r="H612" s="36"/>
    </row>
    <row r="613">
      <c r="H613" s="36"/>
    </row>
    <row r="614">
      <c r="H614" s="36"/>
    </row>
    <row r="615">
      <c r="H615" s="36"/>
    </row>
    <row r="616">
      <c r="H616" s="36"/>
    </row>
    <row r="617">
      <c r="H617" s="36"/>
    </row>
    <row r="618">
      <c r="H618" s="36"/>
    </row>
    <row r="619">
      <c r="H619" s="36"/>
    </row>
    <row r="620">
      <c r="H620" s="36"/>
    </row>
    <row r="621">
      <c r="H621" s="36"/>
    </row>
    <row r="622">
      <c r="H622" s="36"/>
    </row>
    <row r="623">
      <c r="H623" s="36"/>
    </row>
    <row r="624">
      <c r="H624" s="36"/>
    </row>
    <row r="625">
      <c r="H625" s="36"/>
    </row>
    <row r="626">
      <c r="H626" s="36"/>
    </row>
    <row r="627">
      <c r="H627" s="36"/>
    </row>
    <row r="628">
      <c r="H628" s="36"/>
    </row>
    <row r="629">
      <c r="H629" s="36"/>
    </row>
    <row r="630">
      <c r="H630" s="36"/>
    </row>
    <row r="631">
      <c r="H631" s="36"/>
    </row>
    <row r="632">
      <c r="H632" s="36"/>
    </row>
    <row r="633">
      <c r="H633" s="36"/>
    </row>
    <row r="634">
      <c r="H634" s="36"/>
    </row>
    <row r="635">
      <c r="H635" s="36"/>
    </row>
    <row r="636">
      <c r="H636" s="36"/>
    </row>
    <row r="637">
      <c r="H637" s="36"/>
    </row>
    <row r="638">
      <c r="H638" s="36"/>
    </row>
    <row r="639">
      <c r="H639" s="36"/>
    </row>
    <row r="640">
      <c r="H640" s="36"/>
    </row>
    <row r="641">
      <c r="H641" s="36"/>
    </row>
    <row r="642">
      <c r="H642" s="36"/>
    </row>
    <row r="643">
      <c r="H643" s="36"/>
    </row>
    <row r="644">
      <c r="H644" s="36"/>
    </row>
    <row r="645">
      <c r="H645" s="36"/>
    </row>
    <row r="646">
      <c r="H646" s="36"/>
    </row>
    <row r="647">
      <c r="H647" s="36"/>
    </row>
    <row r="648">
      <c r="H648" s="36"/>
    </row>
    <row r="649">
      <c r="H649" s="36"/>
    </row>
    <row r="650">
      <c r="H650" s="36"/>
    </row>
    <row r="651">
      <c r="H651" s="36"/>
    </row>
    <row r="652">
      <c r="H652" s="36"/>
    </row>
    <row r="653">
      <c r="H653" s="36"/>
    </row>
    <row r="654">
      <c r="H654" s="36"/>
    </row>
    <row r="655">
      <c r="H655" s="36"/>
    </row>
    <row r="656">
      <c r="H656" s="36"/>
    </row>
    <row r="657">
      <c r="H657" s="36"/>
    </row>
    <row r="658">
      <c r="H658" s="36"/>
    </row>
    <row r="659">
      <c r="H659" s="36"/>
    </row>
    <row r="660">
      <c r="H660" s="36"/>
    </row>
    <row r="661">
      <c r="H661" s="36"/>
    </row>
    <row r="662">
      <c r="H662" s="36"/>
    </row>
    <row r="663">
      <c r="H663" s="36"/>
    </row>
    <row r="664">
      <c r="H664" s="36"/>
    </row>
    <row r="665">
      <c r="H665" s="36"/>
    </row>
    <row r="666">
      <c r="H666" s="36"/>
    </row>
    <row r="667">
      <c r="H667" s="36"/>
    </row>
    <row r="668">
      <c r="H668" s="36"/>
    </row>
    <row r="669">
      <c r="H669" s="36"/>
    </row>
    <row r="670">
      <c r="H670" s="36"/>
    </row>
    <row r="671">
      <c r="H671" s="36"/>
    </row>
    <row r="672">
      <c r="H672" s="36"/>
    </row>
    <row r="673">
      <c r="H673" s="36"/>
    </row>
    <row r="674">
      <c r="H674" s="36"/>
    </row>
    <row r="675">
      <c r="H675" s="36"/>
    </row>
    <row r="676">
      <c r="H676" s="36"/>
    </row>
    <row r="677">
      <c r="H677" s="36"/>
    </row>
    <row r="678">
      <c r="H678" s="36"/>
    </row>
    <row r="679">
      <c r="H679" s="36"/>
    </row>
    <row r="680">
      <c r="H680" s="36"/>
    </row>
    <row r="681">
      <c r="H681" s="36"/>
    </row>
    <row r="682">
      <c r="H682" s="36"/>
    </row>
    <row r="683">
      <c r="H683" s="36"/>
    </row>
    <row r="684">
      <c r="H684" s="36"/>
    </row>
    <row r="685">
      <c r="H685" s="36"/>
    </row>
    <row r="686">
      <c r="H686" s="36"/>
    </row>
    <row r="687">
      <c r="H687" s="36"/>
    </row>
    <row r="688">
      <c r="H688" s="36"/>
    </row>
    <row r="689">
      <c r="H689" s="36"/>
    </row>
    <row r="690">
      <c r="H690" s="36"/>
    </row>
    <row r="691">
      <c r="H691" s="36"/>
    </row>
    <row r="692">
      <c r="H692" s="36"/>
    </row>
    <row r="693">
      <c r="H693" s="36"/>
    </row>
    <row r="694">
      <c r="H694" s="36"/>
    </row>
    <row r="695">
      <c r="H695" s="36"/>
    </row>
    <row r="696">
      <c r="H696" s="36"/>
    </row>
    <row r="697">
      <c r="H697" s="36"/>
    </row>
    <row r="698">
      <c r="H698" s="36"/>
    </row>
    <row r="699">
      <c r="H699" s="36"/>
    </row>
    <row r="700">
      <c r="H700" s="36"/>
    </row>
    <row r="701">
      <c r="H701" s="36"/>
    </row>
    <row r="702">
      <c r="H702" s="36"/>
    </row>
    <row r="703">
      <c r="H703" s="36"/>
    </row>
    <row r="704">
      <c r="H704" s="36"/>
    </row>
    <row r="705">
      <c r="H705" s="36"/>
    </row>
    <row r="706">
      <c r="H706" s="36"/>
    </row>
    <row r="707">
      <c r="H707" s="36"/>
    </row>
    <row r="708">
      <c r="H708" s="36"/>
    </row>
    <row r="709">
      <c r="H709" s="36"/>
    </row>
    <row r="710">
      <c r="H710" s="36"/>
    </row>
    <row r="711">
      <c r="H711" s="36"/>
    </row>
    <row r="712">
      <c r="H712" s="36"/>
    </row>
    <row r="713">
      <c r="H713" s="36"/>
    </row>
    <row r="714">
      <c r="H714" s="36"/>
    </row>
    <row r="715">
      <c r="H715" s="36"/>
    </row>
    <row r="716">
      <c r="H716" s="36"/>
    </row>
    <row r="717">
      <c r="H717" s="36"/>
    </row>
    <row r="718">
      <c r="H718" s="36"/>
    </row>
    <row r="719">
      <c r="H719" s="36"/>
    </row>
    <row r="720">
      <c r="H720" s="36"/>
    </row>
    <row r="721">
      <c r="H721" s="36"/>
    </row>
    <row r="722">
      <c r="H722" s="36"/>
    </row>
    <row r="723">
      <c r="H723" s="36"/>
    </row>
    <row r="724">
      <c r="H724" s="36"/>
    </row>
    <row r="725">
      <c r="H725" s="36"/>
    </row>
    <row r="726">
      <c r="H726" s="36"/>
    </row>
    <row r="727">
      <c r="H727" s="36"/>
    </row>
    <row r="728">
      <c r="H728" s="36"/>
    </row>
    <row r="729">
      <c r="H729" s="36"/>
    </row>
    <row r="730">
      <c r="H730" s="36"/>
    </row>
    <row r="731">
      <c r="H731" s="36"/>
    </row>
    <row r="732">
      <c r="H732" s="36"/>
    </row>
    <row r="733">
      <c r="H733" s="36"/>
    </row>
    <row r="734">
      <c r="H734" s="36"/>
    </row>
    <row r="735">
      <c r="H735" s="36"/>
    </row>
    <row r="736">
      <c r="H736" s="36"/>
    </row>
    <row r="737">
      <c r="H737" s="36"/>
    </row>
    <row r="738">
      <c r="H738" s="36"/>
    </row>
    <row r="739">
      <c r="H739" s="36"/>
    </row>
    <row r="740">
      <c r="H740" s="36"/>
    </row>
    <row r="741">
      <c r="H741" s="36"/>
    </row>
    <row r="742">
      <c r="H742" s="36"/>
    </row>
    <row r="743">
      <c r="H743" s="36"/>
    </row>
    <row r="744">
      <c r="H744" s="36"/>
    </row>
    <row r="745">
      <c r="H745" s="36"/>
    </row>
    <row r="746">
      <c r="H746" s="36"/>
    </row>
    <row r="747">
      <c r="H747" s="36"/>
    </row>
    <row r="748">
      <c r="H748" s="36"/>
    </row>
    <row r="749">
      <c r="H749" s="36"/>
    </row>
    <row r="750">
      <c r="H750" s="36"/>
    </row>
    <row r="751">
      <c r="H751" s="36"/>
    </row>
    <row r="752">
      <c r="H752" s="36"/>
    </row>
    <row r="753">
      <c r="H753" s="36"/>
    </row>
    <row r="754">
      <c r="H754" s="36"/>
    </row>
    <row r="755">
      <c r="H755" s="36"/>
    </row>
    <row r="756">
      <c r="H756" s="36"/>
    </row>
    <row r="757">
      <c r="H757" s="36"/>
    </row>
    <row r="758">
      <c r="H758" s="36"/>
    </row>
    <row r="759">
      <c r="H759" s="36"/>
    </row>
    <row r="760">
      <c r="H760" s="36"/>
    </row>
    <row r="761">
      <c r="H761" s="36"/>
    </row>
    <row r="762">
      <c r="H762" s="36"/>
    </row>
    <row r="763">
      <c r="H763" s="36"/>
    </row>
    <row r="764">
      <c r="H764" s="36"/>
    </row>
    <row r="765">
      <c r="H765" s="36"/>
    </row>
    <row r="766">
      <c r="H766" s="36"/>
    </row>
    <row r="767">
      <c r="H767" s="36"/>
    </row>
    <row r="768">
      <c r="H768" s="36"/>
    </row>
    <row r="769">
      <c r="H769" s="36"/>
    </row>
    <row r="770">
      <c r="H770" s="36"/>
    </row>
    <row r="771">
      <c r="H771" s="36"/>
    </row>
    <row r="772">
      <c r="H772" s="36"/>
    </row>
    <row r="773">
      <c r="H773" s="36"/>
    </row>
    <row r="774">
      <c r="H774" s="36"/>
    </row>
    <row r="775">
      <c r="H775" s="36"/>
    </row>
    <row r="776">
      <c r="H776" s="36"/>
    </row>
    <row r="777">
      <c r="H777" s="36"/>
    </row>
    <row r="778">
      <c r="H778" s="36"/>
    </row>
    <row r="779">
      <c r="H779" s="36"/>
    </row>
    <row r="780">
      <c r="H780" s="36"/>
    </row>
    <row r="781">
      <c r="H781" s="36"/>
    </row>
    <row r="782">
      <c r="H782" s="36"/>
    </row>
    <row r="783">
      <c r="H783" s="36"/>
    </row>
    <row r="784">
      <c r="H784" s="36"/>
    </row>
    <row r="785">
      <c r="H785" s="36"/>
    </row>
    <row r="786">
      <c r="H786" s="36"/>
    </row>
    <row r="787">
      <c r="H787" s="36"/>
    </row>
    <row r="788">
      <c r="H788" s="36"/>
    </row>
    <row r="789">
      <c r="H789" s="36"/>
    </row>
    <row r="790">
      <c r="H790" s="36"/>
    </row>
    <row r="791">
      <c r="H791" s="36"/>
    </row>
    <row r="792">
      <c r="H792" s="36"/>
    </row>
    <row r="793">
      <c r="H793" s="36"/>
    </row>
    <row r="794">
      <c r="H794" s="36"/>
    </row>
    <row r="795">
      <c r="H795" s="36"/>
    </row>
    <row r="796">
      <c r="H796" s="36"/>
    </row>
    <row r="797">
      <c r="H797" s="36"/>
    </row>
    <row r="798">
      <c r="H798" s="36"/>
    </row>
    <row r="799">
      <c r="H799" s="36"/>
    </row>
    <row r="800">
      <c r="H800" s="36"/>
    </row>
    <row r="801">
      <c r="H801" s="36"/>
    </row>
    <row r="802">
      <c r="H802" s="36"/>
    </row>
    <row r="803">
      <c r="H803" s="36"/>
    </row>
    <row r="804">
      <c r="H804" s="36"/>
    </row>
    <row r="805">
      <c r="H805" s="36"/>
    </row>
    <row r="806">
      <c r="H806" s="36"/>
    </row>
    <row r="807">
      <c r="H807" s="36"/>
    </row>
    <row r="808">
      <c r="H808" s="36"/>
    </row>
    <row r="809">
      <c r="H809" s="36"/>
    </row>
    <row r="810">
      <c r="H810" s="36"/>
    </row>
    <row r="811">
      <c r="H811" s="36"/>
    </row>
    <row r="812">
      <c r="H812" s="36"/>
    </row>
    <row r="813">
      <c r="H813" s="36"/>
    </row>
    <row r="814">
      <c r="H814" s="36"/>
    </row>
    <row r="815">
      <c r="H815" s="36"/>
    </row>
    <row r="816">
      <c r="H816" s="36"/>
    </row>
    <row r="817">
      <c r="H817" s="36"/>
    </row>
    <row r="818">
      <c r="H818" s="36"/>
    </row>
    <row r="819">
      <c r="H819" s="36"/>
    </row>
    <row r="820">
      <c r="H820" s="36"/>
    </row>
    <row r="821">
      <c r="H821" s="36"/>
    </row>
    <row r="822">
      <c r="H822" s="36"/>
    </row>
    <row r="823">
      <c r="H823" s="36"/>
    </row>
    <row r="824">
      <c r="H824" s="36"/>
    </row>
    <row r="825">
      <c r="H825" s="36"/>
    </row>
    <row r="826">
      <c r="H826" s="36"/>
    </row>
    <row r="827">
      <c r="H827" s="36"/>
    </row>
    <row r="828">
      <c r="H828" s="36"/>
    </row>
    <row r="829">
      <c r="H829" s="36"/>
    </row>
    <row r="830">
      <c r="H830" s="36"/>
    </row>
    <row r="831">
      <c r="H831" s="36"/>
    </row>
    <row r="832">
      <c r="H832" s="36"/>
    </row>
    <row r="833">
      <c r="H833" s="36"/>
    </row>
    <row r="834">
      <c r="H834" s="36"/>
    </row>
    <row r="835">
      <c r="H835" s="36"/>
    </row>
    <row r="836">
      <c r="H836" s="36"/>
    </row>
    <row r="837">
      <c r="H837" s="36"/>
    </row>
    <row r="838">
      <c r="H838" s="36"/>
    </row>
    <row r="839">
      <c r="H839" s="36"/>
    </row>
    <row r="840">
      <c r="H840" s="36"/>
    </row>
    <row r="841">
      <c r="H841" s="36"/>
    </row>
    <row r="842">
      <c r="H842" s="36"/>
    </row>
    <row r="843">
      <c r="H843" s="36"/>
    </row>
    <row r="844">
      <c r="H844" s="36"/>
    </row>
    <row r="845">
      <c r="H845" s="36"/>
    </row>
    <row r="846">
      <c r="H846" s="36"/>
    </row>
    <row r="847">
      <c r="H847" s="36"/>
    </row>
    <row r="848">
      <c r="H848" s="36"/>
    </row>
    <row r="849">
      <c r="H849" s="36"/>
    </row>
    <row r="850">
      <c r="H850" s="36"/>
    </row>
    <row r="851">
      <c r="H851" s="36"/>
    </row>
    <row r="852">
      <c r="H852" s="36"/>
    </row>
    <row r="853">
      <c r="H853" s="36"/>
    </row>
    <row r="854">
      <c r="H854" s="36"/>
    </row>
    <row r="855">
      <c r="H855" s="36"/>
    </row>
    <row r="856">
      <c r="H856" s="36"/>
    </row>
    <row r="857">
      <c r="H857" s="36"/>
    </row>
    <row r="858">
      <c r="H858" s="36"/>
    </row>
    <row r="859">
      <c r="H859" s="36"/>
    </row>
    <row r="860">
      <c r="H860" s="36"/>
    </row>
    <row r="861">
      <c r="H861" s="36"/>
    </row>
    <row r="862">
      <c r="H862" s="36"/>
    </row>
    <row r="863">
      <c r="H863" s="36"/>
    </row>
    <row r="864">
      <c r="H864" s="36"/>
    </row>
    <row r="865">
      <c r="H865" s="36"/>
    </row>
    <row r="866">
      <c r="H866" s="36"/>
    </row>
    <row r="867">
      <c r="H867" s="36"/>
    </row>
    <row r="868">
      <c r="H868" s="36"/>
    </row>
    <row r="869">
      <c r="H869" s="36"/>
    </row>
    <row r="870">
      <c r="H870" s="36"/>
    </row>
    <row r="871">
      <c r="H871" s="36"/>
    </row>
    <row r="872">
      <c r="H872" s="36"/>
    </row>
    <row r="873">
      <c r="H873" s="36"/>
    </row>
    <row r="874">
      <c r="H874" s="36"/>
    </row>
    <row r="875">
      <c r="H875" s="36"/>
    </row>
    <row r="876">
      <c r="H876" s="36"/>
    </row>
    <row r="877">
      <c r="H877" s="36"/>
    </row>
    <row r="878">
      <c r="H878" s="36"/>
    </row>
    <row r="879">
      <c r="H879" s="36"/>
    </row>
    <row r="880">
      <c r="H880" s="36"/>
    </row>
    <row r="881">
      <c r="H881" s="36"/>
    </row>
    <row r="882">
      <c r="H882" s="36"/>
    </row>
    <row r="883">
      <c r="H883" s="36"/>
    </row>
    <row r="884">
      <c r="H884" s="36"/>
    </row>
    <row r="885">
      <c r="H885" s="36"/>
    </row>
    <row r="886">
      <c r="H886" s="36"/>
    </row>
    <row r="887">
      <c r="H887" s="36"/>
    </row>
    <row r="888">
      <c r="H888" s="36"/>
    </row>
    <row r="889">
      <c r="H889" s="36"/>
    </row>
    <row r="890">
      <c r="H890" s="36"/>
    </row>
    <row r="891">
      <c r="H891" s="36"/>
    </row>
    <row r="892">
      <c r="H892" s="36"/>
    </row>
    <row r="893">
      <c r="H893" s="36"/>
    </row>
    <row r="894">
      <c r="H894" s="36"/>
    </row>
    <row r="895">
      <c r="H895" s="36"/>
    </row>
    <row r="896">
      <c r="H896" s="36"/>
    </row>
    <row r="897">
      <c r="H897" s="36"/>
    </row>
    <row r="898">
      <c r="H898" s="36"/>
    </row>
    <row r="899">
      <c r="H899" s="36"/>
    </row>
    <row r="900">
      <c r="H900" s="36"/>
    </row>
    <row r="901">
      <c r="H901" s="36"/>
    </row>
    <row r="902">
      <c r="H902" s="36"/>
    </row>
    <row r="903">
      <c r="H903" s="36"/>
    </row>
    <row r="904">
      <c r="H904" s="36"/>
    </row>
    <row r="905">
      <c r="H905" s="36"/>
    </row>
    <row r="906">
      <c r="H906" s="36"/>
    </row>
    <row r="907">
      <c r="H907" s="36"/>
    </row>
    <row r="908">
      <c r="H908" s="36"/>
    </row>
    <row r="909">
      <c r="H909" s="36"/>
    </row>
    <row r="910">
      <c r="H910" s="36"/>
    </row>
    <row r="911">
      <c r="H911" s="36"/>
    </row>
    <row r="912">
      <c r="H912" s="36"/>
    </row>
    <row r="913">
      <c r="H913" s="36"/>
    </row>
    <row r="914">
      <c r="H914" s="36"/>
    </row>
    <row r="915">
      <c r="H915" s="36"/>
    </row>
    <row r="916">
      <c r="H916" s="36"/>
    </row>
    <row r="917">
      <c r="H917" s="36"/>
    </row>
    <row r="918">
      <c r="H918" s="36"/>
    </row>
    <row r="919">
      <c r="H919" s="36"/>
    </row>
    <row r="920">
      <c r="H920" s="36"/>
    </row>
    <row r="921">
      <c r="H921" s="36"/>
    </row>
    <row r="922">
      <c r="H922" s="36"/>
    </row>
    <row r="923">
      <c r="H923" s="36"/>
    </row>
    <row r="924">
      <c r="H924" s="36"/>
    </row>
    <row r="925">
      <c r="H925" s="36"/>
    </row>
    <row r="926">
      <c r="H926" s="36"/>
    </row>
    <row r="927">
      <c r="H927" s="36"/>
    </row>
    <row r="928">
      <c r="H928" s="36"/>
    </row>
    <row r="929">
      <c r="H929" s="36"/>
    </row>
    <row r="930">
      <c r="H930" s="36"/>
    </row>
    <row r="931">
      <c r="H931" s="36"/>
    </row>
    <row r="932">
      <c r="H932" s="36"/>
    </row>
    <row r="933">
      <c r="H933" s="36"/>
    </row>
    <row r="934">
      <c r="H934" s="36"/>
    </row>
    <row r="935">
      <c r="H935" s="36"/>
    </row>
    <row r="936">
      <c r="H936" s="36"/>
    </row>
    <row r="937">
      <c r="H937" s="36"/>
    </row>
    <row r="938">
      <c r="H938" s="36"/>
    </row>
    <row r="939">
      <c r="H939" s="36"/>
    </row>
    <row r="940">
      <c r="H940" s="36"/>
    </row>
    <row r="941">
      <c r="H941" s="36"/>
    </row>
    <row r="942">
      <c r="H942" s="36"/>
    </row>
    <row r="943">
      <c r="H943" s="36"/>
    </row>
    <row r="944">
      <c r="H944" s="36"/>
    </row>
    <row r="945">
      <c r="H945" s="36"/>
    </row>
    <row r="946">
      <c r="H946" s="36"/>
    </row>
    <row r="947">
      <c r="H947" s="36"/>
    </row>
    <row r="948">
      <c r="H948" s="36"/>
    </row>
    <row r="949">
      <c r="H949" s="36"/>
    </row>
    <row r="950">
      <c r="H950" s="36"/>
    </row>
    <row r="951">
      <c r="H951" s="36"/>
    </row>
    <row r="952">
      <c r="H952" s="36"/>
    </row>
    <row r="953">
      <c r="H953" s="36"/>
    </row>
    <row r="954">
      <c r="H954" s="36"/>
    </row>
    <row r="955">
      <c r="H955" s="36"/>
    </row>
    <row r="956">
      <c r="H956" s="36"/>
    </row>
    <row r="957">
      <c r="H957" s="36"/>
    </row>
    <row r="958">
      <c r="H958" s="36"/>
    </row>
    <row r="959">
      <c r="H959" s="36"/>
    </row>
    <row r="960">
      <c r="H960" s="36"/>
    </row>
    <row r="961">
      <c r="H961" s="36"/>
    </row>
    <row r="962">
      <c r="H962" s="36"/>
    </row>
    <row r="963">
      <c r="H963" s="36"/>
    </row>
    <row r="964">
      <c r="H964" s="36"/>
    </row>
    <row r="965">
      <c r="H965" s="36"/>
    </row>
    <row r="966">
      <c r="H966" s="36"/>
    </row>
    <row r="967">
      <c r="H967" s="36"/>
    </row>
    <row r="968">
      <c r="H968" s="36"/>
    </row>
    <row r="969">
      <c r="H969" s="36"/>
    </row>
    <row r="970">
      <c r="H970" s="36"/>
    </row>
    <row r="971">
      <c r="H971" s="36"/>
    </row>
    <row r="972">
      <c r="H972" s="36"/>
    </row>
    <row r="973">
      <c r="H973" s="36"/>
    </row>
    <row r="974">
      <c r="H974" s="36"/>
    </row>
    <row r="975">
      <c r="H975" s="36"/>
    </row>
    <row r="976">
      <c r="H976" s="36"/>
    </row>
    <row r="977">
      <c r="H977" s="36"/>
    </row>
    <row r="978">
      <c r="H978" s="36"/>
    </row>
    <row r="979">
      <c r="H979" s="36"/>
    </row>
    <row r="980">
      <c r="H980" s="36"/>
    </row>
    <row r="981">
      <c r="H981" s="36"/>
    </row>
    <row r="982">
      <c r="H982" s="36"/>
    </row>
  </sheetData>
  <mergeCells count="2">
    <mergeCell ref="A2:E2"/>
    <mergeCell ref="A3:G3"/>
  </mergeCells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38"/>
    <col customWidth="1" min="3" max="3" width="15.75"/>
    <col customWidth="1" min="4" max="4" width="26.38"/>
    <col customWidth="1" min="5" max="5" width="27.25"/>
    <col customWidth="1" min="6" max="6" width="16.75"/>
    <col customWidth="1" min="7" max="7" width="23.25"/>
    <col customWidth="1" min="8" max="9" width="16.75"/>
    <col customWidth="1" min="10" max="10" width="21.88"/>
  </cols>
  <sheetData>
    <row r="1" ht="19.5" customHeight="1">
      <c r="A1" s="1"/>
      <c r="B1" s="2"/>
      <c r="C1" s="3"/>
      <c r="D1" s="37"/>
      <c r="E1" s="4"/>
      <c r="F1" s="38"/>
      <c r="G1" s="39"/>
      <c r="H1" s="40"/>
      <c r="I1" s="39"/>
      <c r="J1" s="39"/>
    </row>
    <row r="2" ht="43.5" customHeight="1">
      <c r="A2" s="41" t="s">
        <v>27</v>
      </c>
      <c r="B2" s="10"/>
      <c r="C2" s="42"/>
      <c r="D2" s="10"/>
      <c r="E2" s="11"/>
      <c r="F2" s="43"/>
      <c r="G2" s="43"/>
      <c r="H2" s="44" t="s">
        <v>1</v>
      </c>
      <c r="I2" s="39"/>
      <c r="J2" s="39"/>
    </row>
    <row r="3" ht="33.75" customHeight="1">
      <c r="A3" s="15" t="s">
        <v>28</v>
      </c>
      <c r="F3" s="39"/>
      <c r="G3" s="39"/>
      <c r="H3" s="40"/>
      <c r="I3" s="39"/>
      <c r="J3" s="39"/>
    </row>
    <row r="4">
      <c r="A4" s="40"/>
      <c r="B4" s="40"/>
      <c r="C4" s="40"/>
      <c r="D4" s="40"/>
      <c r="E4" s="40"/>
      <c r="F4" s="40"/>
      <c r="G4" s="40"/>
      <c r="H4" s="40"/>
      <c r="I4" s="40"/>
      <c r="J4" s="40"/>
      <c r="K4" s="45"/>
    </row>
    <row r="5" ht="39.75" customHeight="1">
      <c r="A5" s="46" t="s">
        <v>29</v>
      </c>
      <c r="B5" s="47"/>
      <c r="C5" s="47"/>
      <c r="D5" s="46" t="s">
        <v>30</v>
      </c>
      <c r="E5" s="47"/>
      <c r="F5" s="48"/>
      <c r="G5" s="46" t="s">
        <v>31</v>
      </c>
      <c r="H5" s="47"/>
      <c r="I5" s="49"/>
      <c r="J5" s="50" t="s">
        <v>32</v>
      </c>
      <c r="K5" s="5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ht="31.5" customHeight="1">
      <c r="A6" s="52" t="s">
        <v>33</v>
      </c>
      <c r="B6" s="53" t="s">
        <v>34</v>
      </c>
      <c r="C6" s="47"/>
      <c r="D6" s="52" t="s">
        <v>33</v>
      </c>
      <c r="E6" s="53" t="s">
        <v>34</v>
      </c>
      <c r="F6" s="48"/>
      <c r="G6" s="52" t="s">
        <v>33</v>
      </c>
      <c r="H6" s="53" t="s">
        <v>35</v>
      </c>
      <c r="I6" s="49"/>
      <c r="J6" s="54" t="s">
        <v>36</v>
      </c>
      <c r="K6" s="55"/>
      <c r="L6" s="55"/>
      <c r="M6" s="56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ht="31.5" customHeight="1">
      <c r="A7" s="57" t="s">
        <v>37</v>
      </c>
      <c r="B7" s="58">
        <v>1.37718E7</v>
      </c>
      <c r="C7" s="47"/>
      <c r="D7" s="57" t="s">
        <v>37</v>
      </c>
      <c r="E7" s="58">
        <v>5764160.0</v>
      </c>
      <c r="F7" s="48"/>
      <c r="G7" s="57" t="s">
        <v>37</v>
      </c>
      <c r="H7" s="58">
        <v>9.281934E7</v>
      </c>
      <c r="I7" s="49"/>
      <c r="J7" s="59"/>
      <c r="M7" s="60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ht="31.5" customHeight="1">
      <c r="A8" s="57" t="s">
        <v>15</v>
      </c>
      <c r="B8" s="61">
        <v>0.5</v>
      </c>
      <c r="C8" s="47"/>
      <c r="D8" s="57" t="s">
        <v>15</v>
      </c>
      <c r="E8" s="61">
        <v>0.484</v>
      </c>
      <c r="F8" s="48"/>
      <c r="G8" s="57" t="s">
        <v>15</v>
      </c>
      <c r="H8" s="61">
        <v>0.39</v>
      </c>
      <c r="I8" s="49"/>
      <c r="J8" s="59"/>
      <c r="M8" s="60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ht="31.5" customHeight="1">
      <c r="A9" s="57" t="s">
        <v>38</v>
      </c>
      <c r="B9" s="58">
        <v>4375786.0</v>
      </c>
      <c r="C9" s="47"/>
      <c r="D9" s="57" t="s">
        <v>38</v>
      </c>
      <c r="E9" s="58">
        <v>2000445.0</v>
      </c>
      <c r="F9" s="48"/>
      <c r="G9" s="57" t="s">
        <v>38</v>
      </c>
      <c r="H9" s="58">
        <v>2.6880207E7</v>
      </c>
      <c r="I9" s="49"/>
      <c r="J9" s="59"/>
      <c r="M9" s="60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ht="31.5" customHeight="1">
      <c r="A10" s="57" t="s">
        <v>39</v>
      </c>
      <c r="B10" s="62">
        <v>2300.0</v>
      </c>
      <c r="C10" s="47"/>
      <c r="D10" s="57" t="s">
        <v>39</v>
      </c>
      <c r="E10" s="62">
        <v>2100.0</v>
      </c>
      <c r="F10" s="48"/>
      <c r="G10" s="57" t="s">
        <v>39</v>
      </c>
      <c r="H10" s="62">
        <v>2000.0</v>
      </c>
      <c r="I10" s="49"/>
      <c r="J10" s="59"/>
      <c r="M10" s="60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ht="31.5" customHeight="1">
      <c r="A11" s="63" t="s">
        <v>40</v>
      </c>
      <c r="B11" s="64">
        <v>35.0</v>
      </c>
      <c r="C11" s="47"/>
      <c r="D11" s="63" t="s">
        <v>40</v>
      </c>
      <c r="E11" s="64">
        <v>34.0</v>
      </c>
      <c r="F11" s="48"/>
      <c r="G11" s="63" t="s">
        <v>40</v>
      </c>
      <c r="H11" s="64">
        <v>683.0</v>
      </c>
      <c r="I11" s="49"/>
      <c r="J11" s="59"/>
      <c r="M11" s="60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ht="31.5" customHeight="1">
      <c r="A12" s="65" t="s">
        <v>41</v>
      </c>
      <c r="B12" s="66">
        <f>((B7*B8)-B9)-(B10*B11)</f>
        <v>2429614</v>
      </c>
      <c r="C12" s="47"/>
      <c r="D12" s="65" t="s">
        <v>41</v>
      </c>
      <c r="E12" s="66">
        <f>((E7*E8)-E9)-(E10*E11)</f>
        <v>718008.44</v>
      </c>
      <c r="F12" s="48"/>
      <c r="G12" s="57" t="s">
        <v>41</v>
      </c>
      <c r="H12" s="66">
        <f>((H7*H8)-H9)-(H10*H11)</f>
        <v>7953335.6</v>
      </c>
      <c r="I12" s="67" t="s">
        <v>42</v>
      </c>
      <c r="J12" s="68"/>
      <c r="K12" s="68"/>
      <c r="L12" s="68"/>
      <c r="M12" s="68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ht="31.5" customHeight="1">
      <c r="A13" s="69" t="s">
        <v>43</v>
      </c>
      <c r="B13" s="70">
        <f>B12/B7</f>
        <v>0.1764194949</v>
      </c>
      <c r="C13" s="47"/>
      <c r="D13" s="69" t="s">
        <v>43</v>
      </c>
      <c r="E13" s="70">
        <f>E12/E7</f>
        <v>0.12456428</v>
      </c>
      <c r="F13" s="48"/>
      <c r="G13" s="63" t="s">
        <v>43</v>
      </c>
      <c r="H13" s="70">
        <f>H12/H7</f>
        <v>0.08568618997</v>
      </c>
      <c r="I13" s="49"/>
      <c r="J13" s="71"/>
      <c r="K13" s="71"/>
      <c r="L13" s="71"/>
      <c r="M13" s="7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ht="21.75" customHeight="1">
      <c r="A14" s="72"/>
      <c r="B14" s="73"/>
      <c r="C14" s="73"/>
      <c r="D14" s="73"/>
      <c r="E14" s="49"/>
      <c r="F14" s="48"/>
      <c r="G14" s="48"/>
      <c r="H14" s="48"/>
      <c r="I14" s="49"/>
      <c r="J14" s="74"/>
      <c r="K14" s="5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ht="21.75" customHeight="1">
      <c r="A15" s="72"/>
      <c r="B15" s="73"/>
      <c r="C15" s="73"/>
      <c r="D15" s="73"/>
      <c r="E15" s="49"/>
      <c r="F15" s="48"/>
      <c r="G15" s="48"/>
      <c r="H15" s="48"/>
      <c r="I15" s="49"/>
      <c r="J15" s="74"/>
      <c r="K15" s="5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ht="45.0" customHeight="1">
      <c r="A16" s="46" t="s">
        <v>44</v>
      </c>
      <c r="B16" s="75"/>
      <c r="C16" s="73"/>
      <c r="D16" s="46" t="s">
        <v>5</v>
      </c>
      <c r="E16" s="75"/>
      <c r="F16" s="48"/>
      <c r="G16" s="46" t="s">
        <v>5</v>
      </c>
      <c r="H16" s="47"/>
      <c r="I16" s="49"/>
      <c r="J16" s="74"/>
      <c r="K16" s="5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ht="33.0" customHeight="1">
      <c r="A17" s="52" t="s">
        <v>33</v>
      </c>
      <c r="B17" s="53" t="s">
        <v>34</v>
      </c>
      <c r="C17" s="76"/>
      <c r="D17" s="52" t="s">
        <v>33</v>
      </c>
      <c r="E17" s="53">
        <v>0.0</v>
      </c>
      <c r="F17" s="77"/>
      <c r="G17" s="52" t="s">
        <v>33</v>
      </c>
      <c r="H17" s="53"/>
      <c r="I17" s="78"/>
      <c r="J17" s="79"/>
      <c r="K17" s="45"/>
    </row>
    <row r="18" ht="33.0" customHeight="1">
      <c r="A18" s="57" t="s">
        <v>37</v>
      </c>
      <c r="B18" s="58">
        <v>1.74857E7</v>
      </c>
      <c r="C18" s="76"/>
      <c r="D18" s="57" t="s">
        <v>37</v>
      </c>
      <c r="E18" s="58">
        <v>0.0</v>
      </c>
      <c r="F18" s="77"/>
      <c r="G18" s="57" t="s">
        <v>37</v>
      </c>
      <c r="H18" s="58"/>
      <c r="I18" s="78"/>
      <c r="J18" s="79"/>
      <c r="K18" s="45"/>
    </row>
    <row r="19" ht="33.0" customHeight="1">
      <c r="A19" s="57" t="s">
        <v>15</v>
      </c>
      <c r="B19" s="61">
        <v>0.41</v>
      </c>
      <c r="C19" s="76"/>
      <c r="D19" s="57" t="s">
        <v>15</v>
      </c>
      <c r="E19" s="61">
        <v>0.0</v>
      </c>
      <c r="F19" s="77"/>
      <c r="G19" s="57" t="s">
        <v>15</v>
      </c>
      <c r="H19" s="61"/>
      <c r="I19" s="78"/>
      <c r="J19" s="80"/>
      <c r="K19" s="45"/>
    </row>
    <row r="20" ht="33.0" customHeight="1">
      <c r="A20" s="57" t="s">
        <v>38</v>
      </c>
      <c r="B20" s="58">
        <v>3883027.0</v>
      </c>
      <c r="C20" s="76"/>
      <c r="D20" s="57" t="s">
        <v>38</v>
      </c>
      <c r="E20" s="58">
        <v>0.0</v>
      </c>
      <c r="F20" s="77"/>
      <c r="G20" s="57" t="s">
        <v>38</v>
      </c>
      <c r="H20" s="58"/>
      <c r="I20" s="78"/>
      <c r="J20" s="79"/>
      <c r="K20" s="45"/>
    </row>
    <row r="21" ht="33.0" customHeight="1">
      <c r="A21" s="57" t="s">
        <v>39</v>
      </c>
      <c r="B21" s="62">
        <v>2062.0</v>
      </c>
      <c r="C21" s="76"/>
      <c r="D21" s="57" t="s">
        <v>39</v>
      </c>
      <c r="E21" s="62">
        <v>0.0</v>
      </c>
      <c r="F21" s="77"/>
      <c r="G21" s="57" t="s">
        <v>39</v>
      </c>
      <c r="H21" s="62"/>
      <c r="I21" s="78"/>
      <c r="J21" s="79"/>
      <c r="K21" s="45"/>
    </row>
    <row r="22" ht="33.0" customHeight="1">
      <c r="A22" s="63" t="s">
        <v>40</v>
      </c>
      <c r="B22" s="64">
        <v>94.0</v>
      </c>
      <c r="C22" s="76"/>
      <c r="D22" s="63" t="s">
        <v>40</v>
      </c>
      <c r="E22" s="64">
        <v>0.0</v>
      </c>
      <c r="F22" s="77"/>
      <c r="G22" s="63" t="s">
        <v>40</v>
      </c>
      <c r="H22" s="64"/>
      <c r="I22" s="78"/>
      <c r="J22" s="79"/>
      <c r="K22" s="45"/>
    </row>
    <row r="23" ht="33.0" customHeight="1">
      <c r="A23" s="57" t="s">
        <v>41</v>
      </c>
      <c r="B23" s="66">
        <f>((B18*B19)-B20)-(B21*B22)</f>
        <v>3092282</v>
      </c>
      <c r="C23" s="76"/>
      <c r="D23" s="57" t="s">
        <v>41</v>
      </c>
      <c r="E23" s="66">
        <f>((E18*E19)-E20)-(E21*E22)</f>
        <v>0</v>
      </c>
      <c r="F23" s="77"/>
      <c r="G23" s="57" t="s">
        <v>41</v>
      </c>
      <c r="H23" s="66">
        <f>((H18*H19)-H20)-(H21*H22)</f>
        <v>0</v>
      </c>
      <c r="I23" s="78"/>
      <c r="J23" s="79"/>
      <c r="K23" s="45"/>
    </row>
    <row r="24" ht="33.0" customHeight="1">
      <c r="A24" s="63" t="s">
        <v>43</v>
      </c>
      <c r="B24" s="70">
        <f>B23/B18</f>
        <v>0.1768463373</v>
      </c>
      <c r="C24" s="76"/>
      <c r="D24" s="63" t="s">
        <v>43</v>
      </c>
      <c r="E24" s="70" t="str">
        <f>E23/E18</f>
        <v>#DIV/0!</v>
      </c>
      <c r="F24" s="77"/>
      <c r="G24" s="63" t="s">
        <v>43</v>
      </c>
      <c r="H24" s="70" t="str">
        <f>H23/H18</f>
        <v>#DIV/0!</v>
      </c>
      <c r="I24" s="78"/>
      <c r="J24" s="79"/>
      <c r="K24" s="45"/>
    </row>
    <row r="25" ht="26.25" customHeight="1">
      <c r="A25" s="39"/>
      <c r="B25" s="76"/>
      <c r="C25" s="76"/>
      <c r="D25" s="76"/>
      <c r="E25" s="78"/>
      <c r="F25" s="77"/>
      <c r="G25" s="77"/>
      <c r="H25" s="77"/>
      <c r="I25" s="78"/>
      <c r="J25" s="79"/>
      <c r="K25" s="45"/>
    </row>
    <row r="26" ht="26.25" customHeight="1">
      <c r="A26" s="39"/>
      <c r="B26" s="76"/>
      <c r="C26" s="76"/>
      <c r="D26" s="76"/>
      <c r="E26" s="78"/>
      <c r="F26" s="77"/>
      <c r="G26" s="77"/>
      <c r="H26" s="77"/>
      <c r="I26" s="78"/>
      <c r="J26" s="79"/>
      <c r="K26" s="45"/>
    </row>
    <row r="27" ht="36.0" customHeight="1">
      <c r="A27" s="46" t="s">
        <v>5</v>
      </c>
      <c r="B27" s="47"/>
      <c r="C27" s="73"/>
      <c r="D27" s="46" t="s">
        <v>5</v>
      </c>
      <c r="E27" s="47"/>
      <c r="F27" s="48"/>
      <c r="G27" s="46" t="s">
        <v>5</v>
      </c>
      <c r="H27" s="47"/>
      <c r="I27" s="78"/>
      <c r="J27" s="79"/>
      <c r="K27" s="45"/>
    </row>
    <row r="28" ht="31.5" customHeight="1">
      <c r="A28" s="52" t="s">
        <v>33</v>
      </c>
      <c r="B28" s="53"/>
      <c r="C28" s="76"/>
      <c r="D28" s="52" t="s">
        <v>33</v>
      </c>
      <c r="E28" s="53"/>
      <c r="F28" s="77"/>
      <c r="G28" s="52" t="s">
        <v>33</v>
      </c>
      <c r="H28" s="53"/>
      <c r="I28" s="78"/>
      <c r="J28" s="79"/>
      <c r="K28" s="45"/>
    </row>
    <row r="29" ht="31.5" customHeight="1">
      <c r="A29" s="57" t="s">
        <v>37</v>
      </c>
      <c r="B29" s="58"/>
      <c r="C29" s="76"/>
      <c r="D29" s="57" t="s">
        <v>37</v>
      </c>
      <c r="E29" s="58"/>
      <c r="F29" s="77"/>
      <c r="G29" s="57" t="s">
        <v>37</v>
      </c>
      <c r="H29" s="58"/>
      <c r="I29" s="78"/>
      <c r="J29" s="79"/>
      <c r="K29" s="45"/>
    </row>
    <row r="30" ht="31.5" customHeight="1">
      <c r="A30" s="57" t="s">
        <v>15</v>
      </c>
      <c r="B30" s="61"/>
      <c r="C30" s="76"/>
      <c r="D30" s="57" t="s">
        <v>15</v>
      </c>
      <c r="E30" s="61"/>
      <c r="F30" s="77"/>
      <c r="G30" s="57" t="s">
        <v>15</v>
      </c>
      <c r="H30" s="61"/>
      <c r="I30" s="78"/>
      <c r="J30" s="79"/>
      <c r="K30" s="45"/>
    </row>
    <row r="31" ht="31.5" customHeight="1">
      <c r="A31" s="57" t="s">
        <v>38</v>
      </c>
      <c r="B31" s="58"/>
      <c r="C31" s="76"/>
      <c r="D31" s="57" t="s">
        <v>38</v>
      </c>
      <c r="E31" s="58"/>
      <c r="F31" s="77"/>
      <c r="G31" s="57" t="s">
        <v>38</v>
      </c>
      <c r="H31" s="58"/>
      <c r="I31" s="78"/>
      <c r="J31" s="79"/>
      <c r="K31" s="45"/>
    </row>
    <row r="32" ht="31.5" customHeight="1">
      <c r="A32" s="57" t="s">
        <v>39</v>
      </c>
      <c r="B32" s="62"/>
      <c r="C32" s="76"/>
      <c r="D32" s="57" t="s">
        <v>39</v>
      </c>
      <c r="E32" s="62"/>
      <c r="F32" s="77"/>
      <c r="G32" s="57" t="s">
        <v>39</v>
      </c>
      <c r="H32" s="62"/>
      <c r="I32" s="78"/>
      <c r="J32" s="79"/>
      <c r="K32" s="45"/>
    </row>
    <row r="33" ht="31.5" customHeight="1">
      <c r="A33" s="63" t="s">
        <v>40</v>
      </c>
      <c r="B33" s="64"/>
      <c r="C33" s="76"/>
      <c r="D33" s="63" t="s">
        <v>40</v>
      </c>
      <c r="E33" s="64"/>
      <c r="F33" s="77"/>
      <c r="G33" s="63" t="s">
        <v>40</v>
      </c>
      <c r="H33" s="64"/>
      <c r="I33" s="78"/>
      <c r="J33" s="79"/>
      <c r="K33" s="45"/>
    </row>
    <row r="34" ht="31.5" customHeight="1">
      <c r="A34" s="57" t="s">
        <v>41</v>
      </c>
      <c r="B34" s="66">
        <f>((B29*B30)-B31)-(B32*B33)</f>
        <v>0</v>
      </c>
      <c r="C34" s="76"/>
      <c r="D34" s="57" t="s">
        <v>41</v>
      </c>
      <c r="E34" s="66">
        <f>((E29*E30)-E31)-(E32*E33)</f>
        <v>0</v>
      </c>
      <c r="F34" s="77"/>
      <c r="G34" s="57" t="s">
        <v>41</v>
      </c>
      <c r="H34" s="66">
        <f>((H29*H30)-H31)-(H32*H33)</f>
        <v>0</v>
      </c>
      <c r="I34" s="78"/>
      <c r="J34" s="79"/>
      <c r="K34" s="45"/>
    </row>
    <row r="35" ht="31.5" customHeight="1">
      <c r="A35" s="63" t="s">
        <v>43</v>
      </c>
      <c r="B35" s="70" t="str">
        <f>B34/B29</f>
        <v>#DIV/0!</v>
      </c>
      <c r="C35" s="76"/>
      <c r="D35" s="63" t="s">
        <v>43</v>
      </c>
      <c r="E35" s="70" t="str">
        <f>E34/E29</f>
        <v>#DIV/0!</v>
      </c>
      <c r="F35" s="77"/>
      <c r="G35" s="63" t="s">
        <v>43</v>
      </c>
      <c r="H35" s="70" t="str">
        <f>H34/H29</f>
        <v>#DIV/0!</v>
      </c>
      <c r="I35" s="78"/>
      <c r="J35" s="79"/>
      <c r="K35" s="45"/>
    </row>
    <row r="36">
      <c r="A36" s="39"/>
      <c r="B36" s="76"/>
      <c r="C36" s="76"/>
      <c r="D36" s="76"/>
      <c r="E36" s="78"/>
      <c r="F36" s="77"/>
      <c r="G36" s="77"/>
      <c r="H36" s="77"/>
      <c r="I36" s="78"/>
      <c r="J36" s="79"/>
      <c r="K36" s="45"/>
    </row>
    <row r="37">
      <c r="A37" s="39"/>
      <c r="B37" s="76"/>
      <c r="C37" s="76"/>
      <c r="D37" s="76"/>
      <c r="E37" s="78"/>
      <c r="F37" s="77"/>
      <c r="G37" s="77"/>
      <c r="H37" s="77"/>
      <c r="I37" s="78"/>
      <c r="J37" s="79"/>
      <c r="K37" s="45"/>
    </row>
    <row r="38">
      <c r="A38" s="39"/>
      <c r="B38" s="76"/>
      <c r="C38" s="76"/>
      <c r="D38" s="76"/>
      <c r="E38" s="78"/>
      <c r="F38" s="77"/>
      <c r="G38" s="77"/>
      <c r="H38" s="77"/>
      <c r="I38" s="78"/>
      <c r="J38" s="79"/>
      <c r="K38" s="45"/>
    </row>
    <row r="39">
      <c r="A39" s="39"/>
      <c r="B39" s="76"/>
      <c r="C39" s="76"/>
      <c r="D39" s="76"/>
      <c r="E39" s="78"/>
      <c r="F39" s="77"/>
      <c r="G39" s="77"/>
      <c r="H39" s="77"/>
      <c r="I39" s="78"/>
      <c r="J39" s="79"/>
      <c r="K39" s="45"/>
    </row>
    <row r="40">
      <c r="A40" s="39"/>
      <c r="B40" s="76"/>
      <c r="C40" s="76"/>
      <c r="D40" s="76"/>
      <c r="E40" s="78"/>
      <c r="F40" s="77"/>
      <c r="G40" s="77"/>
      <c r="H40" s="77"/>
      <c r="I40" s="78"/>
      <c r="J40" s="79"/>
      <c r="K40" s="45"/>
    </row>
    <row r="41">
      <c r="A41" s="39"/>
      <c r="B41" s="76"/>
      <c r="C41" s="76"/>
      <c r="D41" s="76"/>
      <c r="E41" s="78"/>
      <c r="F41" s="77"/>
      <c r="G41" s="77"/>
      <c r="H41" s="77"/>
      <c r="I41" s="78"/>
      <c r="J41" s="79"/>
      <c r="K41" s="45"/>
    </row>
    <row r="42">
      <c r="A42" s="39"/>
      <c r="B42" s="76"/>
      <c r="C42" s="76"/>
      <c r="D42" s="76"/>
      <c r="E42" s="78"/>
      <c r="F42" s="77"/>
      <c r="G42" s="77"/>
      <c r="H42" s="77"/>
      <c r="I42" s="78"/>
      <c r="J42" s="79"/>
      <c r="K42" s="45"/>
    </row>
    <row r="43">
      <c r="A43" s="39"/>
      <c r="B43" s="76"/>
      <c r="C43" s="76"/>
      <c r="D43" s="76"/>
      <c r="E43" s="78"/>
      <c r="F43" s="77"/>
      <c r="G43" s="77"/>
      <c r="H43" s="77"/>
      <c r="I43" s="78"/>
      <c r="J43" s="79"/>
      <c r="K43" s="45"/>
    </row>
    <row r="44">
      <c r="A44" s="39"/>
      <c r="B44" s="76"/>
      <c r="C44" s="76"/>
      <c r="D44" s="76"/>
      <c r="E44" s="78"/>
      <c r="F44" s="77"/>
      <c r="G44" s="77"/>
      <c r="H44" s="77"/>
      <c r="I44" s="78"/>
      <c r="J44" s="79"/>
      <c r="K44" s="45"/>
    </row>
    <row r="45">
      <c r="A45" s="39"/>
      <c r="B45" s="76"/>
      <c r="C45" s="76"/>
      <c r="D45" s="76"/>
      <c r="E45" s="78"/>
      <c r="F45" s="77"/>
      <c r="G45" s="77"/>
      <c r="H45" s="77"/>
      <c r="I45" s="78"/>
      <c r="J45" s="79"/>
      <c r="K45" s="45"/>
    </row>
    <row r="46">
      <c r="A46" s="39"/>
      <c r="B46" s="76"/>
      <c r="C46" s="76"/>
      <c r="D46" s="76"/>
      <c r="E46" s="78"/>
      <c r="F46" s="77"/>
      <c r="G46" s="77"/>
      <c r="H46" s="77"/>
      <c r="I46" s="78"/>
      <c r="J46" s="79"/>
      <c r="K46" s="45"/>
    </row>
    <row r="47">
      <c r="A47" s="39"/>
      <c r="B47" s="76"/>
      <c r="C47" s="76"/>
      <c r="D47" s="76"/>
      <c r="E47" s="78"/>
      <c r="F47" s="77"/>
      <c r="G47" s="77"/>
      <c r="H47" s="77"/>
      <c r="I47" s="78"/>
      <c r="J47" s="79"/>
      <c r="K47" s="45"/>
    </row>
    <row r="48">
      <c r="A48" s="39"/>
      <c r="B48" s="76"/>
      <c r="C48" s="76"/>
      <c r="D48" s="76"/>
      <c r="E48" s="78"/>
      <c r="F48" s="77"/>
      <c r="G48" s="77"/>
      <c r="H48" s="77"/>
      <c r="I48" s="78"/>
      <c r="J48" s="79"/>
      <c r="K48" s="45"/>
    </row>
    <row r="49">
      <c r="A49" s="39"/>
      <c r="B49" s="76"/>
      <c r="C49" s="76"/>
      <c r="D49" s="76"/>
      <c r="E49" s="78"/>
      <c r="F49" s="77"/>
      <c r="G49" s="77"/>
      <c r="H49" s="77"/>
      <c r="I49" s="78"/>
      <c r="J49" s="79"/>
      <c r="K49" s="45"/>
    </row>
    <row r="50">
      <c r="A50" s="39"/>
      <c r="B50" s="76"/>
      <c r="C50" s="76"/>
      <c r="D50" s="76"/>
      <c r="E50" s="78"/>
      <c r="F50" s="77"/>
      <c r="G50" s="77"/>
      <c r="H50" s="77"/>
      <c r="I50" s="78"/>
      <c r="J50" s="79"/>
      <c r="K50" s="45"/>
    </row>
    <row r="51">
      <c r="A51" s="39"/>
      <c r="B51" s="76"/>
      <c r="C51" s="76"/>
      <c r="D51" s="76"/>
      <c r="E51" s="78"/>
      <c r="F51" s="77"/>
      <c r="G51" s="77"/>
      <c r="H51" s="77"/>
      <c r="I51" s="78"/>
      <c r="J51" s="79"/>
      <c r="K51" s="45"/>
    </row>
    <row r="52">
      <c r="A52" s="39"/>
      <c r="B52" s="76"/>
      <c r="C52" s="76"/>
      <c r="D52" s="76"/>
      <c r="E52" s="78"/>
      <c r="F52" s="77"/>
      <c r="G52" s="77"/>
      <c r="H52" s="77"/>
      <c r="I52" s="78"/>
      <c r="J52" s="79"/>
      <c r="K52" s="45"/>
    </row>
    <row r="53">
      <c r="A53" s="39"/>
      <c r="B53" s="76"/>
      <c r="C53" s="76"/>
      <c r="D53" s="76"/>
      <c r="E53" s="78"/>
      <c r="F53" s="77"/>
      <c r="G53" s="77"/>
      <c r="H53" s="77"/>
      <c r="I53" s="78"/>
      <c r="J53" s="79"/>
      <c r="K53" s="45"/>
    </row>
    <row r="54">
      <c r="A54" s="39"/>
      <c r="B54" s="76"/>
      <c r="C54" s="76"/>
      <c r="D54" s="76"/>
      <c r="E54" s="78"/>
      <c r="F54" s="77"/>
      <c r="G54" s="77"/>
      <c r="H54" s="77"/>
      <c r="I54" s="78"/>
      <c r="J54" s="79"/>
      <c r="K54" s="45"/>
    </row>
    <row r="55">
      <c r="A55" s="39"/>
      <c r="B55" s="76"/>
      <c r="C55" s="76"/>
      <c r="D55" s="76"/>
      <c r="E55" s="78"/>
      <c r="F55" s="77"/>
      <c r="G55" s="77"/>
      <c r="H55" s="77"/>
      <c r="I55" s="78"/>
      <c r="J55" s="79"/>
      <c r="K55" s="45"/>
    </row>
    <row r="56">
      <c r="A56" s="39"/>
      <c r="B56" s="76"/>
      <c r="C56" s="76"/>
      <c r="D56" s="76"/>
      <c r="E56" s="78"/>
      <c r="F56" s="77"/>
      <c r="G56" s="77"/>
      <c r="H56" s="77"/>
      <c r="I56" s="78"/>
      <c r="J56" s="79"/>
      <c r="K56" s="45"/>
    </row>
    <row r="57">
      <c r="A57" s="39"/>
      <c r="B57" s="76"/>
      <c r="C57" s="76"/>
      <c r="D57" s="76"/>
      <c r="E57" s="78"/>
      <c r="F57" s="77"/>
      <c r="G57" s="77"/>
      <c r="H57" s="77"/>
      <c r="I57" s="78"/>
      <c r="J57" s="79"/>
      <c r="K57" s="45"/>
    </row>
    <row r="58">
      <c r="A58" s="39"/>
      <c r="B58" s="76"/>
      <c r="C58" s="76"/>
      <c r="D58" s="76"/>
      <c r="E58" s="78"/>
      <c r="F58" s="77"/>
      <c r="G58" s="77"/>
      <c r="H58" s="77"/>
      <c r="I58" s="78"/>
      <c r="J58" s="79"/>
      <c r="K58" s="45"/>
    </row>
    <row r="59">
      <c r="A59" s="39"/>
      <c r="B59" s="76"/>
      <c r="C59" s="76"/>
      <c r="D59" s="76"/>
      <c r="E59" s="78"/>
      <c r="F59" s="77"/>
      <c r="G59" s="77"/>
      <c r="H59" s="77"/>
      <c r="I59" s="78"/>
      <c r="J59" s="79"/>
      <c r="K59" s="45"/>
    </row>
    <row r="60">
      <c r="A60" s="39"/>
      <c r="B60" s="76"/>
      <c r="C60" s="76"/>
      <c r="D60" s="76"/>
      <c r="E60" s="78"/>
      <c r="F60" s="77"/>
      <c r="G60" s="77"/>
      <c r="H60" s="77"/>
      <c r="I60" s="78"/>
      <c r="J60" s="79"/>
      <c r="K60" s="45"/>
    </row>
    <row r="61">
      <c r="A61" s="39"/>
      <c r="B61" s="76"/>
      <c r="C61" s="76"/>
      <c r="D61" s="76"/>
      <c r="E61" s="78"/>
      <c r="F61" s="77"/>
      <c r="G61" s="77"/>
      <c r="H61" s="77"/>
      <c r="I61" s="78"/>
      <c r="J61" s="79"/>
      <c r="K61" s="45"/>
    </row>
    <row r="62">
      <c r="A62" s="39"/>
      <c r="B62" s="76"/>
      <c r="C62" s="76"/>
      <c r="D62" s="76"/>
      <c r="E62" s="78"/>
      <c r="F62" s="77"/>
      <c r="G62" s="77"/>
      <c r="H62" s="77"/>
      <c r="I62" s="78"/>
      <c r="J62" s="79"/>
      <c r="K62" s="45"/>
    </row>
    <row r="63">
      <c r="A63" s="39"/>
      <c r="B63" s="76"/>
      <c r="C63" s="76"/>
      <c r="D63" s="76"/>
      <c r="E63" s="78"/>
      <c r="F63" s="77"/>
      <c r="G63" s="77"/>
      <c r="H63" s="77"/>
      <c r="I63" s="78"/>
      <c r="J63" s="79"/>
      <c r="K63" s="45"/>
    </row>
    <row r="64">
      <c r="A64" s="39"/>
      <c r="B64" s="76"/>
      <c r="C64" s="76"/>
      <c r="D64" s="76"/>
      <c r="E64" s="78"/>
      <c r="F64" s="77"/>
      <c r="G64" s="77"/>
      <c r="H64" s="77"/>
      <c r="I64" s="78"/>
      <c r="J64" s="79"/>
      <c r="K64" s="45"/>
    </row>
    <row r="65">
      <c r="A65" s="39"/>
      <c r="B65" s="76"/>
      <c r="C65" s="76"/>
      <c r="D65" s="76"/>
      <c r="E65" s="78"/>
      <c r="F65" s="77"/>
      <c r="G65" s="77"/>
      <c r="H65" s="77"/>
      <c r="I65" s="78"/>
      <c r="J65" s="79"/>
      <c r="K65" s="45"/>
    </row>
    <row r="66">
      <c r="A66" s="39"/>
      <c r="B66" s="76"/>
      <c r="C66" s="76"/>
      <c r="D66" s="76"/>
      <c r="E66" s="78"/>
      <c r="F66" s="77"/>
      <c r="G66" s="77"/>
      <c r="H66" s="77"/>
      <c r="I66" s="78"/>
      <c r="J66" s="79"/>
      <c r="K66" s="45"/>
    </row>
    <row r="67">
      <c r="A67" s="39"/>
      <c r="B67" s="76"/>
      <c r="C67" s="76"/>
      <c r="D67" s="76"/>
      <c r="E67" s="78"/>
      <c r="F67" s="77"/>
      <c r="G67" s="77"/>
      <c r="H67" s="77"/>
      <c r="I67" s="78"/>
      <c r="J67" s="79"/>
      <c r="K67" s="45"/>
    </row>
    <row r="68">
      <c r="A68" s="39"/>
      <c r="B68" s="76"/>
      <c r="C68" s="76"/>
      <c r="D68" s="76"/>
      <c r="E68" s="78"/>
      <c r="F68" s="77"/>
      <c r="G68" s="77"/>
      <c r="H68" s="77"/>
      <c r="I68" s="78"/>
      <c r="J68" s="79"/>
      <c r="K68" s="45"/>
    </row>
    <row r="69">
      <c r="A69" s="39"/>
      <c r="B69" s="76"/>
      <c r="C69" s="76"/>
      <c r="D69" s="76"/>
      <c r="E69" s="78"/>
      <c r="F69" s="77"/>
      <c r="G69" s="77"/>
      <c r="H69" s="77"/>
      <c r="I69" s="78"/>
      <c r="J69" s="79"/>
      <c r="K69" s="45"/>
    </row>
    <row r="70">
      <c r="A70" s="39"/>
      <c r="B70" s="76"/>
      <c r="C70" s="76"/>
      <c r="D70" s="76"/>
      <c r="E70" s="78"/>
      <c r="F70" s="77"/>
      <c r="G70" s="77"/>
      <c r="H70" s="77"/>
      <c r="I70" s="78"/>
      <c r="J70" s="79"/>
      <c r="K70" s="45"/>
    </row>
    <row r="71">
      <c r="A71" s="39"/>
      <c r="B71" s="76"/>
      <c r="C71" s="76"/>
      <c r="D71" s="76"/>
      <c r="E71" s="78"/>
      <c r="F71" s="77"/>
      <c r="G71" s="77"/>
      <c r="H71" s="77"/>
      <c r="I71" s="78"/>
      <c r="J71" s="79"/>
      <c r="K71" s="45"/>
    </row>
    <row r="72">
      <c r="A72" s="39"/>
      <c r="B72" s="76"/>
      <c r="C72" s="76"/>
      <c r="D72" s="76"/>
      <c r="E72" s="78"/>
      <c r="F72" s="77"/>
      <c r="G72" s="77"/>
      <c r="H72" s="77"/>
      <c r="I72" s="78"/>
      <c r="J72" s="79"/>
      <c r="K72" s="45"/>
    </row>
    <row r="73">
      <c r="A73" s="39"/>
      <c r="B73" s="76"/>
      <c r="C73" s="76"/>
      <c r="D73" s="76"/>
      <c r="E73" s="78"/>
      <c r="F73" s="77"/>
      <c r="G73" s="77"/>
      <c r="H73" s="77"/>
      <c r="I73" s="78"/>
      <c r="J73" s="79"/>
      <c r="K73" s="45"/>
    </row>
    <row r="74">
      <c r="A74" s="39"/>
      <c r="B74" s="76"/>
      <c r="C74" s="76"/>
      <c r="D74" s="76"/>
      <c r="E74" s="78"/>
      <c r="F74" s="77"/>
      <c r="G74" s="77"/>
      <c r="H74" s="77"/>
      <c r="I74" s="78"/>
      <c r="J74" s="79"/>
      <c r="K74" s="45"/>
    </row>
    <row r="75">
      <c r="A75" s="39"/>
      <c r="B75" s="76"/>
      <c r="C75" s="76"/>
      <c r="D75" s="76"/>
      <c r="E75" s="78"/>
      <c r="F75" s="77"/>
      <c r="G75" s="77"/>
      <c r="H75" s="77"/>
      <c r="I75" s="78"/>
      <c r="J75" s="79"/>
      <c r="K75" s="45"/>
    </row>
    <row r="76">
      <c r="A76" s="39"/>
      <c r="B76" s="76"/>
      <c r="C76" s="76"/>
      <c r="D76" s="76"/>
      <c r="E76" s="78"/>
      <c r="F76" s="77"/>
      <c r="G76" s="77"/>
      <c r="H76" s="77"/>
      <c r="I76" s="78"/>
      <c r="J76" s="79"/>
      <c r="K76" s="45"/>
    </row>
    <row r="77">
      <c r="A77" s="39"/>
      <c r="B77" s="76"/>
      <c r="C77" s="76"/>
      <c r="D77" s="76"/>
      <c r="E77" s="78"/>
      <c r="F77" s="77"/>
      <c r="G77" s="77"/>
      <c r="H77" s="77"/>
      <c r="I77" s="78"/>
      <c r="J77" s="79"/>
      <c r="K77" s="45"/>
    </row>
    <row r="78">
      <c r="A78" s="39"/>
      <c r="B78" s="76"/>
      <c r="C78" s="76"/>
      <c r="D78" s="76"/>
      <c r="E78" s="78"/>
      <c r="F78" s="77"/>
      <c r="G78" s="77"/>
      <c r="H78" s="77"/>
      <c r="I78" s="78"/>
      <c r="J78" s="79"/>
      <c r="K78" s="45"/>
    </row>
    <row r="79">
      <c r="A79" s="39"/>
      <c r="B79" s="76"/>
      <c r="C79" s="76"/>
      <c r="D79" s="76"/>
      <c r="E79" s="78"/>
      <c r="F79" s="77"/>
      <c r="G79" s="77"/>
      <c r="H79" s="77"/>
      <c r="I79" s="78"/>
      <c r="J79" s="79"/>
      <c r="K79" s="45"/>
    </row>
    <row r="80">
      <c r="A80" s="39"/>
      <c r="B80" s="76"/>
      <c r="C80" s="76"/>
      <c r="D80" s="76"/>
      <c r="E80" s="78"/>
      <c r="F80" s="77"/>
      <c r="G80" s="77"/>
      <c r="H80" s="77"/>
      <c r="I80" s="78"/>
      <c r="J80" s="79"/>
      <c r="K80" s="45"/>
    </row>
    <row r="81">
      <c r="A81" s="39"/>
      <c r="B81" s="76"/>
      <c r="C81" s="76"/>
      <c r="D81" s="76"/>
      <c r="E81" s="78"/>
      <c r="F81" s="77"/>
      <c r="G81" s="77"/>
      <c r="H81" s="77"/>
      <c r="I81" s="78"/>
      <c r="J81" s="79"/>
      <c r="K81" s="45"/>
    </row>
    <row r="82">
      <c r="A82" s="39"/>
      <c r="B82" s="76"/>
      <c r="C82" s="76"/>
      <c r="D82" s="76"/>
      <c r="E82" s="78"/>
      <c r="F82" s="77"/>
      <c r="G82" s="77"/>
      <c r="H82" s="77"/>
      <c r="I82" s="78"/>
      <c r="J82" s="79"/>
      <c r="K82" s="45"/>
    </row>
    <row r="83">
      <c r="A83" s="39"/>
      <c r="B83" s="76"/>
      <c r="C83" s="76"/>
      <c r="D83" s="76"/>
      <c r="E83" s="78"/>
      <c r="F83" s="77"/>
      <c r="G83" s="77"/>
      <c r="H83" s="77"/>
      <c r="I83" s="78"/>
      <c r="J83" s="79"/>
      <c r="K83" s="45"/>
    </row>
    <row r="84">
      <c r="A84" s="39"/>
      <c r="B84" s="76"/>
      <c r="C84" s="76"/>
      <c r="D84" s="76"/>
      <c r="E84" s="78"/>
      <c r="F84" s="77"/>
      <c r="G84" s="77"/>
      <c r="H84" s="77"/>
      <c r="I84" s="78"/>
      <c r="J84" s="79"/>
      <c r="K84" s="45"/>
    </row>
    <row r="85">
      <c r="A85" s="39"/>
      <c r="B85" s="76"/>
      <c r="C85" s="76"/>
      <c r="D85" s="76"/>
      <c r="E85" s="78"/>
      <c r="F85" s="77"/>
      <c r="G85" s="77"/>
      <c r="H85" s="77"/>
      <c r="I85" s="78"/>
      <c r="J85" s="79"/>
      <c r="K85" s="45"/>
    </row>
    <row r="86">
      <c r="A86" s="39"/>
      <c r="B86" s="76"/>
      <c r="C86" s="76"/>
      <c r="D86" s="76"/>
      <c r="E86" s="78"/>
      <c r="F86" s="77"/>
      <c r="G86" s="77"/>
      <c r="H86" s="77"/>
      <c r="I86" s="78"/>
      <c r="J86" s="79"/>
      <c r="K86" s="45"/>
    </row>
    <row r="87">
      <c r="A87" s="39"/>
      <c r="B87" s="76"/>
      <c r="C87" s="76"/>
      <c r="D87" s="76"/>
      <c r="E87" s="78"/>
      <c r="F87" s="77"/>
      <c r="G87" s="77"/>
      <c r="H87" s="77"/>
      <c r="I87" s="78"/>
      <c r="J87" s="79"/>
      <c r="K87" s="45"/>
    </row>
    <row r="88">
      <c r="A88" s="39"/>
      <c r="B88" s="76"/>
      <c r="C88" s="76"/>
      <c r="D88" s="76"/>
      <c r="E88" s="78"/>
      <c r="F88" s="77"/>
      <c r="G88" s="77"/>
      <c r="H88" s="77"/>
      <c r="I88" s="78"/>
      <c r="J88" s="79"/>
      <c r="K88" s="45"/>
    </row>
    <row r="89">
      <c r="A89" s="39"/>
      <c r="B89" s="76"/>
      <c r="C89" s="76"/>
      <c r="D89" s="76"/>
      <c r="E89" s="78"/>
      <c r="F89" s="77"/>
      <c r="G89" s="77"/>
      <c r="H89" s="77"/>
      <c r="I89" s="78"/>
      <c r="J89" s="79"/>
      <c r="K89" s="45"/>
    </row>
    <row r="90">
      <c r="A90" s="39"/>
      <c r="B90" s="76"/>
      <c r="C90" s="76"/>
      <c r="D90" s="76"/>
      <c r="E90" s="78"/>
      <c r="F90" s="77"/>
      <c r="G90" s="77"/>
      <c r="H90" s="77"/>
      <c r="I90" s="78"/>
      <c r="J90" s="79"/>
      <c r="K90" s="45"/>
    </row>
    <row r="91">
      <c r="A91" s="39"/>
      <c r="B91" s="76"/>
      <c r="C91" s="76"/>
      <c r="D91" s="76"/>
      <c r="E91" s="78"/>
      <c r="F91" s="77"/>
      <c r="G91" s="77"/>
      <c r="H91" s="77"/>
      <c r="I91" s="78"/>
      <c r="J91" s="79"/>
      <c r="K91" s="45"/>
    </row>
    <row r="92">
      <c r="A92" s="39"/>
      <c r="B92" s="76"/>
      <c r="C92" s="76"/>
      <c r="D92" s="76"/>
      <c r="E92" s="78"/>
      <c r="F92" s="77"/>
      <c r="G92" s="77"/>
      <c r="H92" s="77"/>
      <c r="I92" s="78"/>
      <c r="J92" s="79"/>
      <c r="K92" s="45"/>
    </row>
    <row r="93">
      <c r="A93" s="39"/>
      <c r="B93" s="76"/>
      <c r="C93" s="76"/>
      <c r="D93" s="76"/>
      <c r="E93" s="78"/>
      <c r="F93" s="77"/>
      <c r="G93" s="77"/>
      <c r="H93" s="77"/>
      <c r="I93" s="78"/>
      <c r="J93" s="79"/>
      <c r="K93" s="45"/>
    </row>
    <row r="94">
      <c r="A94" s="39"/>
      <c r="B94" s="76"/>
      <c r="C94" s="76"/>
      <c r="D94" s="76"/>
      <c r="E94" s="78"/>
      <c r="F94" s="77"/>
      <c r="G94" s="77"/>
      <c r="H94" s="77"/>
      <c r="I94" s="78"/>
      <c r="J94" s="79"/>
      <c r="K94" s="45"/>
    </row>
    <row r="95">
      <c r="A95" s="39"/>
      <c r="B95" s="76"/>
      <c r="C95" s="76"/>
      <c r="D95" s="76"/>
      <c r="E95" s="78"/>
      <c r="F95" s="77"/>
      <c r="G95" s="77"/>
      <c r="H95" s="77"/>
      <c r="I95" s="78"/>
      <c r="J95" s="79"/>
      <c r="K95" s="45"/>
    </row>
    <row r="96">
      <c r="A96" s="39"/>
      <c r="B96" s="76"/>
      <c r="C96" s="76"/>
      <c r="D96" s="76"/>
      <c r="E96" s="78"/>
      <c r="F96" s="77"/>
      <c r="G96" s="77"/>
      <c r="H96" s="77"/>
      <c r="I96" s="78"/>
      <c r="J96" s="79"/>
      <c r="K96" s="45"/>
    </row>
    <row r="97">
      <c r="A97" s="39"/>
      <c r="B97" s="76"/>
      <c r="C97" s="76"/>
      <c r="D97" s="76"/>
      <c r="E97" s="78"/>
      <c r="F97" s="77"/>
      <c r="G97" s="77"/>
      <c r="H97" s="77"/>
      <c r="I97" s="78"/>
      <c r="J97" s="79"/>
      <c r="K97" s="45"/>
    </row>
    <row r="98">
      <c r="A98" s="39"/>
      <c r="B98" s="76"/>
      <c r="C98" s="76"/>
      <c r="D98" s="76"/>
      <c r="E98" s="78"/>
      <c r="F98" s="77"/>
      <c r="G98" s="77"/>
      <c r="H98" s="77"/>
      <c r="I98" s="78"/>
      <c r="J98" s="79"/>
      <c r="K98" s="45"/>
    </row>
    <row r="99">
      <c r="A99" s="39"/>
      <c r="B99" s="76"/>
      <c r="C99" s="76"/>
      <c r="D99" s="76"/>
      <c r="E99" s="78"/>
      <c r="F99" s="77"/>
      <c r="G99" s="77"/>
      <c r="H99" s="77"/>
      <c r="I99" s="78"/>
      <c r="J99" s="79"/>
      <c r="K99" s="45"/>
    </row>
    <row r="100">
      <c r="A100" s="39"/>
      <c r="B100" s="76"/>
      <c r="C100" s="76"/>
      <c r="D100" s="76"/>
      <c r="E100" s="78"/>
      <c r="F100" s="77"/>
      <c r="G100" s="77"/>
      <c r="H100" s="77"/>
      <c r="I100" s="78"/>
      <c r="J100" s="79"/>
      <c r="K100" s="45"/>
    </row>
    <row r="101">
      <c r="A101" s="39"/>
      <c r="B101" s="76"/>
      <c r="C101" s="76"/>
      <c r="D101" s="76"/>
      <c r="E101" s="78"/>
      <c r="F101" s="77"/>
      <c r="G101" s="77"/>
      <c r="H101" s="77"/>
      <c r="I101" s="78"/>
      <c r="J101" s="79"/>
      <c r="K101" s="45"/>
    </row>
    <row r="102">
      <c r="A102" s="39"/>
      <c r="B102" s="76"/>
      <c r="C102" s="76"/>
      <c r="D102" s="76"/>
      <c r="E102" s="78"/>
      <c r="F102" s="77"/>
      <c r="G102" s="77"/>
      <c r="H102" s="77"/>
      <c r="I102" s="78"/>
      <c r="J102" s="79"/>
      <c r="K102" s="45"/>
    </row>
    <row r="103">
      <c r="A103" s="39"/>
      <c r="B103" s="76"/>
      <c r="C103" s="76"/>
      <c r="D103" s="76"/>
      <c r="E103" s="78"/>
      <c r="F103" s="77"/>
      <c r="G103" s="77"/>
      <c r="H103" s="77"/>
      <c r="I103" s="78"/>
      <c r="J103" s="79"/>
      <c r="K103" s="45"/>
    </row>
    <row r="104">
      <c r="A104" s="45"/>
      <c r="B104" s="81"/>
      <c r="C104" s="81"/>
      <c r="D104" s="81"/>
      <c r="E104" s="45"/>
      <c r="F104" s="45"/>
      <c r="G104" s="45"/>
      <c r="H104" s="45"/>
      <c r="I104" s="45"/>
      <c r="J104" s="45"/>
      <c r="K104" s="45"/>
    </row>
    <row r="105">
      <c r="A105" s="45"/>
      <c r="B105" s="81"/>
      <c r="C105" s="81"/>
      <c r="D105" s="81"/>
      <c r="E105" s="45"/>
      <c r="F105" s="45"/>
      <c r="G105" s="45"/>
      <c r="H105" s="45"/>
      <c r="I105" s="45"/>
      <c r="J105" s="45"/>
      <c r="K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</row>
  </sheetData>
  <mergeCells count="2">
    <mergeCell ref="A3:E3"/>
    <mergeCell ref="J6:M11"/>
  </mergeCells>
  <hyperlinks>
    <hyperlink r:id="rId1" ref="A3"/>
    <hyperlink r:id="rId2" ref="J6"/>
  </hyperlinks>
  <drawing r:id="rId3"/>
</worksheet>
</file>